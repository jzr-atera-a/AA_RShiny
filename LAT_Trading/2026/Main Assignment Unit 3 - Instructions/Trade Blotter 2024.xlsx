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craig\Desktop\Assessed Trading\"/>
    </mc:Choice>
  </mc:AlternateContent>
  <xr:revisionPtr revIDLastSave="38" documentId="13_ncr:1_{E499D03F-EAD5-40A4-86B9-F76A32E42D9D}" xr6:coauthVersionLast="47" xr6:coauthVersionMax="47" xr10:uidLastSave="{97D7B303-EAC0-4722-8E1B-16E1DF4BC954}"/>
  <bookViews>
    <workbookView xWindow="-120" yWindow="-120" windowWidth="29040" windowHeight="15840" tabRatio="530" firstSheet="1" activeTab="1" xr2:uid="{00000000-000D-0000-FFFF-FFFF00000000}"/>
  </bookViews>
  <sheets>
    <sheet name="Intro and Instructions" sheetId="6" r:id="rId1"/>
    <sheet name="Trade Blotter" sheetId="1" r:id="rId2"/>
    <sheet name="Equity Curve" sheetId="7" r:id="rId3"/>
    <sheet name="PnL" sheetId="9" r:id="rId4"/>
    <sheet name="RRR" sheetId="8" r:id="rId5"/>
    <sheet name="Asset Based" sheetId="12" r:id="rId6"/>
    <sheet name="Other Stats" sheetId="10" r:id="rId7"/>
  </sheets>
  <definedNames>
    <definedName name="_xlnm._FilterDatabase" localSheetId="1" hidden="1">'Trade Blotter'!$A$3:$AE$62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6" i="1" l="1"/>
  <c r="R16" i="1"/>
  <c r="S16" i="1" s="1"/>
  <c r="T16" i="1"/>
  <c r="Z16" i="1"/>
  <c r="AA16" i="1"/>
  <c r="Q17" i="1"/>
  <c r="T17" i="1" s="1"/>
  <c r="R17" i="1"/>
  <c r="S17" i="1" s="1"/>
  <c r="AA17" i="1"/>
  <c r="Q18" i="1"/>
  <c r="R18" i="1"/>
  <c r="Z18" i="1" s="1"/>
  <c r="S18" i="1"/>
  <c r="T18" i="1"/>
  <c r="AA18" i="1"/>
  <c r="Q19" i="1"/>
  <c r="T19" i="1" s="1"/>
  <c r="R19" i="1"/>
  <c r="AA19" i="1"/>
  <c r="Q20" i="1"/>
  <c r="T20" i="1" s="1"/>
  <c r="R20" i="1"/>
  <c r="S20" i="1" s="1"/>
  <c r="AA20" i="1"/>
  <c r="Q21" i="1"/>
  <c r="T21" i="1" s="1"/>
  <c r="R21" i="1"/>
  <c r="AA21" i="1"/>
  <c r="Q22" i="1"/>
  <c r="T22" i="1" s="1"/>
  <c r="R22" i="1"/>
  <c r="S22" i="1" s="1"/>
  <c r="Z22" i="1"/>
  <c r="AA22" i="1"/>
  <c r="Q23" i="1"/>
  <c r="T23" i="1" s="1"/>
  <c r="R23" i="1"/>
  <c r="S23" i="1" s="1"/>
  <c r="AA23" i="1"/>
  <c r="Q24" i="1"/>
  <c r="R24" i="1"/>
  <c r="S24" i="1"/>
  <c r="T24" i="1"/>
  <c r="Z24" i="1"/>
  <c r="AA24" i="1"/>
  <c r="Q25" i="1"/>
  <c r="T25" i="1" s="1"/>
  <c r="R25" i="1"/>
  <c r="S25" i="1" s="1"/>
  <c r="AA25" i="1"/>
  <c r="Q26" i="1"/>
  <c r="R26" i="1"/>
  <c r="Z26" i="1" s="1"/>
  <c r="S26" i="1"/>
  <c r="T26" i="1"/>
  <c r="AA26" i="1"/>
  <c r="Q27" i="1"/>
  <c r="T27" i="1" s="1"/>
  <c r="R27" i="1"/>
  <c r="AA27" i="1"/>
  <c r="Q28" i="1"/>
  <c r="T28" i="1" s="1"/>
  <c r="R28" i="1"/>
  <c r="S28" i="1" s="1"/>
  <c r="AA28" i="1"/>
  <c r="Q29" i="1"/>
  <c r="T29" i="1" s="1"/>
  <c r="R29" i="1"/>
  <c r="AA29" i="1"/>
  <c r="Q30" i="1"/>
  <c r="T30" i="1" s="1"/>
  <c r="R30" i="1"/>
  <c r="S30" i="1" s="1"/>
  <c r="Z30" i="1"/>
  <c r="AA30" i="1"/>
  <c r="Q31" i="1"/>
  <c r="T31" i="1" s="1"/>
  <c r="R31" i="1"/>
  <c r="S31" i="1" s="1"/>
  <c r="AA31" i="1"/>
  <c r="Q32" i="1"/>
  <c r="R32" i="1"/>
  <c r="S32" i="1"/>
  <c r="T32" i="1"/>
  <c r="Z32" i="1"/>
  <c r="AA32" i="1"/>
  <c r="Q33" i="1"/>
  <c r="T33" i="1" s="1"/>
  <c r="R33" i="1"/>
  <c r="S33" i="1" s="1"/>
  <c r="AA33" i="1"/>
  <c r="Q34" i="1"/>
  <c r="R34" i="1"/>
  <c r="Z34" i="1" s="1"/>
  <c r="S34" i="1"/>
  <c r="T34" i="1"/>
  <c r="AA34" i="1"/>
  <c r="Q35" i="1"/>
  <c r="T35" i="1" s="1"/>
  <c r="R35" i="1"/>
  <c r="AA35" i="1"/>
  <c r="Q36" i="1"/>
  <c r="T36" i="1" s="1"/>
  <c r="R36" i="1"/>
  <c r="Z36" i="1" s="1"/>
  <c r="AA36" i="1"/>
  <c r="Q37" i="1"/>
  <c r="T37" i="1" s="1"/>
  <c r="R37" i="1"/>
  <c r="AA37" i="1"/>
  <c r="Q38" i="1"/>
  <c r="T38" i="1" s="1"/>
  <c r="R38" i="1"/>
  <c r="Z38" i="1" s="1"/>
  <c r="AA38" i="1"/>
  <c r="Q39" i="1"/>
  <c r="T39" i="1" s="1"/>
  <c r="R39" i="1"/>
  <c r="AA39" i="1"/>
  <c r="Q40" i="1"/>
  <c r="T40" i="1" s="1"/>
  <c r="R40" i="1"/>
  <c r="Z40" i="1" s="1"/>
  <c r="AA40" i="1"/>
  <c r="Q41" i="1"/>
  <c r="T41" i="1" s="1"/>
  <c r="R41" i="1"/>
  <c r="AA41" i="1"/>
  <c r="Q42" i="1"/>
  <c r="T42" i="1" s="1"/>
  <c r="R42" i="1"/>
  <c r="Z42" i="1" s="1"/>
  <c r="AA42" i="1"/>
  <c r="Q43" i="1"/>
  <c r="T43" i="1" s="1"/>
  <c r="R43" i="1"/>
  <c r="AA43" i="1"/>
  <c r="Q44" i="1"/>
  <c r="T44" i="1" s="1"/>
  <c r="R44" i="1"/>
  <c r="Z44" i="1" s="1"/>
  <c r="AA44" i="1"/>
  <c r="Q45" i="1"/>
  <c r="T45" i="1" s="1"/>
  <c r="R45" i="1"/>
  <c r="AA45" i="1"/>
  <c r="Q46" i="1"/>
  <c r="T46" i="1" s="1"/>
  <c r="R46" i="1"/>
  <c r="Z46" i="1" s="1"/>
  <c r="AA46" i="1"/>
  <c r="Q47" i="1"/>
  <c r="T47" i="1" s="1"/>
  <c r="R47" i="1"/>
  <c r="AA47" i="1"/>
  <c r="Q48" i="1"/>
  <c r="T48" i="1" s="1"/>
  <c r="R48" i="1"/>
  <c r="Z48" i="1" s="1"/>
  <c r="AA48" i="1"/>
  <c r="Q49" i="1"/>
  <c r="T49" i="1" s="1"/>
  <c r="R49" i="1"/>
  <c r="AA49" i="1"/>
  <c r="Q50" i="1"/>
  <c r="T50" i="1" s="1"/>
  <c r="R50" i="1"/>
  <c r="Z50" i="1" s="1"/>
  <c r="AA50" i="1"/>
  <c r="Q51" i="1"/>
  <c r="T51" i="1" s="1"/>
  <c r="R51" i="1"/>
  <c r="AA51" i="1"/>
  <c r="Q52" i="1"/>
  <c r="T52" i="1" s="1"/>
  <c r="R52" i="1"/>
  <c r="Z52" i="1" s="1"/>
  <c r="AA52" i="1"/>
  <c r="Q53" i="1"/>
  <c r="T53" i="1" s="1"/>
  <c r="R53" i="1"/>
  <c r="AA53" i="1"/>
  <c r="Q54" i="1"/>
  <c r="T54" i="1" s="1"/>
  <c r="R54" i="1"/>
  <c r="Z54" i="1" s="1"/>
  <c r="AA54" i="1"/>
  <c r="Q55" i="1"/>
  <c r="T55" i="1" s="1"/>
  <c r="R55" i="1"/>
  <c r="AA55" i="1"/>
  <c r="Q56" i="1"/>
  <c r="T56" i="1" s="1"/>
  <c r="R56" i="1"/>
  <c r="Z56" i="1" s="1"/>
  <c r="AA56" i="1"/>
  <c r="Q57" i="1"/>
  <c r="T57" i="1" s="1"/>
  <c r="R57" i="1"/>
  <c r="AA57" i="1"/>
  <c r="Q58" i="1"/>
  <c r="T58" i="1" s="1"/>
  <c r="R58" i="1"/>
  <c r="Z58" i="1" s="1"/>
  <c r="AA58" i="1"/>
  <c r="Q59" i="1"/>
  <c r="T59" i="1" s="1"/>
  <c r="R59" i="1"/>
  <c r="AA59" i="1"/>
  <c r="Q60" i="1"/>
  <c r="T60" i="1" s="1"/>
  <c r="R60" i="1"/>
  <c r="Z60" i="1" s="1"/>
  <c r="AA60" i="1"/>
  <c r="Q61" i="1"/>
  <c r="T61" i="1" s="1"/>
  <c r="R61" i="1"/>
  <c r="AA61" i="1"/>
  <c r="Q62" i="1"/>
  <c r="T62" i="1" s="1"/>
  <c r="R62" i="1"/>
  <c r="Z62" i="1" s="1"/>
  <c r="AA62" i="1"/>
  <c r="Z28" i="1" l="1"/>
  <c r="Z20" i="1"/>
  <c r="S29" i="1"/>
  <c r="S21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27" i="1"/>
  <c r="S19" i="1"/>
  <c r="S62" i="1"/>
  <c r="Z61" i="1"/>
  <c r="S60" i="1"/>
  <c r="Z59" i="1"/>
  <c r="S58" i="1"/>
  <c r="Z57" i="1"/>
  <c r="S56" i="1"/>
  <c r="Z55" i="1"/>
  <c r="S54" i="1"/>
  <c r="Z53" i="1"/>
  <c r="S52" i="1"/>
  <c r="Z51" i="1"/>
  <c r="S50" i="1"/>
  <c r="Z49" i="1"/>
  <c r="S48" i="1"/>
  <c r="Z47" i="1"/>
  <c r="S46" i="1"/>
  <c r="Z45" i="1"/>
  <c r="S44" i="1"/>
  <c r="Z43" i="1"/>
  <c r="S42" i="1"/>
  <c r="Z41" i="1"/>
  <c r="S40" i="1"/>
  <c r="Z39" i="1"/>
  <c r="S38" i="1"/>
  <c r="Z37" i="1"/>
  <c r="S36" i="1"/>
  <c r="Z35" i="1"/>
  <c r="Z33" i="1"/>
  <c r="Z31" i="1"/>
  <c r="Z29" i="1"/>
  <c r="Z27" i="1"/>
  <c r="Z25" i="1"/>
  <c r="Z23" i="1"/>
  <c r="Z21" i="1"/>
  <c r="Z19" i="1"/>
  <c r="Z17" i="1"/>
  <c r="Y22" i="6"/>
  <c r="AI33" i="10"/>
  <c r="AI34" i="10"/>
  <c r="AI35" i="10"/>
  <c r="AI36" i="10"/>
  <c r="AI37" i="10"/>
  <c r="AI38" i="10"/>
  <c r="AI39" i="10"/>
  <c r="AI40" i="10"/>
  <c r="AI41" i="10"/>
  <c r="AI42" i="10"/>
  <c r="AE33" i="10"/>
  <c r="AE34" i="10"/>
  <c r="AE35" i="10"/>
  <c r="AE36" i="10"/>
  <c r="AE37" i="10"/>
  <c r="AE38" i="10"/>
  <c r="AE39" i="10"/>
  <c r="AE40" i="10"/>
  <c r="AE41" i="10"/>
  <c r="AE42" i="10"/>
  <c r="U33" i="10"/>
  <c r="U34" i="10"/>
  <c r="U35" i="10"/>
  <c r="U36" i="10"/>
  <c r="U37" i="10"/>
  <c r="U38" i="10"/>
  <c r="U39" i="10"/>
  <c r="U40" i="10"/>
  <c r="U41" i="10"/>
  <c r="U42" i="10"/>
  <c r="K33" i="10"/>
  <c r="K34" i="10"/>
  <c r="K35" i="10"/>
  <c r="K36" i="10"/>
  <c r="K37" i="10"/>
  <c r="K38" i="10"/>
  <c r="K39" i="10"/>
  <c r="K40" i="10"/>
  <c r="K41" i="10"/>
  <c r="B33" i="10"/>
  <c r="B34" i="10"/>
  <c r="B35" i="10"/>
  <c r="B36" i="10"/>
  <c r="B37" i="10"/>
  <c r="B38" i="10"/>
  <c r="B39" i="10"/>
  <c r="B40" i="10"/>
  <c r="B41" i="10"/>
  <c r="B42" i="10"/>
  <c r="B5" i="12"/>
  <c r="B6" i="12"/>
  <c r="B7" i="12"/>
  <c r="B8" i="12"/>
  <c r="B9" i="12"/>
  <c r="B10" i="12"/>
  <c r="B11" i="12"/>
  <c r="B12" i="12"/>
  <c r="B13" i="12"/>
  <c r="B14" i="12"/>
  <c r="B15" i="12"/>
  <c r="A5" i="12"/>
  <c r="A6" i="12"/>
  <c r="A7" i="12"/>
  <c r="A8" i="12"/>
  <c r="A9" i="12"/>
  <c r="A10" i="12"/>
  <c r="A11" i="12"/>
  <c r="A12" i="12"/>
  <c r="A13" i="12"/>
  <c r="A14" i="12"/>
  <c r="C4" i="8"/>
  <c r="C5" i="8"/>
  <c r="C6" i="8"/>
  <c r="C7" i="8"/>
  <c r="C8" i="8"/>
  <c r="C9" i="8"/>
  <c r="C10" i="8"/>
  <c r="C11" i="8"/>
  <c r="B6" i="9"/>
  <c r="B7" i="9"/>
  <c r="B8" i="9"/>
  <c r="B9" i="9"/>
  <c r="B10" i="9"/>
  <c r="B11" i="9"/>
  <c r="B12" i="9"/>
  <c r="B13" i="9"/>
  <c r="A6" i="9"/>
  <c r="A7" i="9"/>
  <c r="A8" i="9"/>
  <c r="A9" i="9"/>
  <c r="A10" i="9"/>
  <c r="A11" i="9"/>
  <c r="A12" i="9"/>
  <c r="A13" i="9"/>
  <c r="K42" i="10"/>
  <c r="AF39" i="10"/>
  <c r="AF40" i="10"/>
  <c r="AF41" i="10"/>
  <c r="AK21" i="1"/>
  <c r="AE21" i="1"/>
  <c r="AF38" i="10"/>
  <c r="B9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B50" i="8"/>
  <c r="A50" i="8"/>
  <c r="AK20" i="1"/>
  <c r="AE20" i="1"/>
  <c r="AF37" i="10"/>
  <c r="B8" i="8"/>
  <c r="AK8" i="1"/>
  <c r="AE8" i="1"/>
  <c r="AA8" i="1"/>
  <c r="P8" i="1"/>
  <c r="R8" i="1" s="1"/>
  <c r="Q8" i="1"/>
  <c r="T8" i="1" s="1"/>
  <c r="AK7" i="1"/>
  <c r="AE7" i="1"/>
  <c r="AA7" i="1"/>
  <c r="P7" i="1"/>
  <c r="R7" i="1" s="1"/>
  <c r="Q7" i="1"/>
  <c r="AK6" i="1"/>
  <c r="AE6" i="1"/>
  <c r="AA6" i="1"/>
  <c r="P6" i="1"/>
  <c r="R6" i="1" s="1"/>
  <c r="Z6" i="1" s="1"/>
  <c r="Q6" i="1"/>
  <c r="T6" i="1" s="1"/>
  <c r="AK5" i="1"/>
  <c r="AE5" i="1"/>
  <c r="AA5" i="1"/>
  <c r="Z5" i="1"/>
  <c r="T5" i="1"/>
  <c r="P5" i="1"/>
  <c r="R5" i="1" s="1"/>
  <c r="Q5" i="1"/>
  <c r="AK4" i="1"/>
  <c r="AE4" i="1"/>
  <c r="AA4" i="1"/>
  <c r="Z4" i="1"/>
  <c r="P4" i="1"/>
  <c r="R4" i="1" s="1"/>
  <c r="Q4" i="1"/>
  <c r="T4" i="1" s="1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D15" i="1"/>
  <c r="AF36" i="10"/>
  <c r="B4" i="8"/>
  <c r="R15" i="1"/>
  <c r="A2" i="7" l="1"/>
  <c r="AD16" i="1"/>
  <c r="AD17" i="1" s="1"/>
  <c r="AD18" i="1" s="1"/>
  <c r="AD19" i="1" s="1"/>
  <c r="AD20" i="1" s="1"/>
  <c r="AD21" i="1" s="1"/>
  <c r="AD22" i="1" s="1"/>
  <c r="S7" i="1"/>
  <c r="A8" i="8"/>
  <c r="S5" i="1"/>
  <c r="S8" i="1"/>
  <c r="S4" i="1"/>
  <c r="A9" i="8"/>
  <c r="Z7" i="1"/>
  <c r="T7" i="1"/>
  <c r="S6" i="1"/>
  <c r="Z8" i="1"/>
  <c r="AD23" i="1" l="1"/>
  <c r="A9" i="7"/>
  <c r="AK16" i="1"/>
  <c r="AK18" i="1"/>
  <c r="AK19" i="1"/>
  <c r="AK17" i="1"/>
  <c r="AK15" i="1"/>
  <c r="AD24" i="1" l="1"/>
  <c r="A10" i="7"/>
  <c r="Q15" i="1"/>
  <c r="T15" i="1" s="1"/>
  <c r="B5" i="8"/>
  <c r="B6" i="8"/>
  <c r="AE17" i="1"/>
  <c r="AF34" i="10"/>
  <c r="AE19" i="1"/>
  <c r="AE18" i="1"/>
  <c r="AF35" i="10"/>
  <c r="AE16" i="1"/>
  <c r="AF33" i="10"/>
  <c r="AE15" i="1"/>
  <c r="AA15" i="1"/>
  <c r="Z15" i="1"/>
  <c r="AD25" i="1" l="1"/>
  <c r="A11" i="7"/>
  <c r="A4" i="8"/>
  <c r="B7" i="8"/>
  <c r="A5" i="8"/>
  <c r="A7" i="8"/>
  <c r="A6" i="8"/>
  <c r="S15" i="1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3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32" i="10"/>
  <c r="V33" i="10"/>
  <c r="V34" i="10"/>
  <c r="V35" i="10"/>
  <c r="V36" i="10"/>
  <c r="V37" i="10"/>
  <c r="V38" i="10"/>
  <c r="V39" i="10"/>
  <c r="V40" i="10"/>
  <c r="V41" i="10"/>
  <c r="V42" i="10"/>
  <c r="U43" i="10"/>
  <c r="V43" i="10" s="1"/>
  <c r="U44" i="10"/>
  <c r="V44" i="10" s="1"/>
  <c r="U45" i="10"/>
  <c r="V45" i="10" s="1"/>
  <c r="U46" i="10"/>
  <c r="V46" i="10" s="1"/>
  <c r="U47" i="10"/>
  <c r="V47" i="10" s="1"/>
  <c r="U48" i="10"/>
  <c r="V48" i="10" s="1"/>
  <c r="U49" i="10"/>
  <c r="V49" i="10" s="1"/>
  <c r="U50" i="10"/>
  <c r="V50" i="10" s="1"/>
  <c r="U51" i="10"/>
  <c r="V51" i="10" s="1"/>
  <c r="U52" i="10"/>
  <c r="V52" i="10" s="1"/>
  <c r="U53" i="10"/>
  <c r="V53" i="10" s="1"/>
  <c r="U54" i="10"/>
  <c r="V54" i="10" s="1"/>
  <c r="U55" i="10"/>
  <c r="V55" i="10" s="1"/>
  <c r="U56" i="10"/>
  <c r="V56" i="10" s="1"/>
  <c r="U57" i="10"/>
  <c r="V57" i="10" s="1"/>
  <c r="U58" i="10"/>
  <c r="V58" i="10" s="1"/>
  <c r="U59" i="10"/>
  <c r="V59" i="10" s="1"/>
  <c r="U60" i="10"/>
  <c r="V60" i="10" s="1"/>
  <c r="U32" i="10"/>
  <c r="V32" i="10" s="1"/>
  <c r="L33" i="10"/>
  <c r="L34" i="10"/>
  <c r="L35" i="10"/>
  <c r="L36" i="10"/>
  <c r="L37" i="10"/>
  <c r="L38" i="10"/>
  <c r="L39" i="10"/>
  <c r="L40" i="10"/>
  <c r="L41" i="10"/>
  <c r="L42" i="10"/>
  <c r="K43" i="10"/>
  <c r="L43" i="10" s="1"/>
  <c r="K44" i="10"/>
  <c r="L44" i="10" s="1"/>
  <c r="K45" i="10"/>
  <c r="L45" i="10" s="1"/>
  <c r="K46" i="10"/>
  <c r="L46" i="10" s="1"/>
  <c r="K47" i="10"/>
  <c r="L47" i="10" s="1"/>
  <c r="K48" i="10"/>
  <c r="L48" i="10" s="1"/>
  <c r="K49" i="10"/>
  <c r="L49" i="10" s="1"/>
  <c r="K50" i="10"/>
  <c r="L50" i="10" s="1"/>
  <c r="K51" i="10"/>
  <c r="L51" i="10" s="1"/>
  <c r="K52" i="10"/>
  <c r="L52" i="10" s="1"/>
  <c r="K53" i="10"/>
  <c r="L53" i="10" s="1"/>
  <c r="K54" i="10"/>
  <c r="L54" i="10" s="1"/>
  <c r="K55" i="10"/>
  <c r="L55" i="10" s="1"/>
  <c r="K56" i="10"/>
  <c r="L56" i="10" s="1"/>
  <c r="K57" i="10"/>
  <c r="L57" i="10" s="1"/>
  <c r="K58" i="10"/>
  <c r="L58" i="10" s="1"/>
  <c r="K59" i="10"/>
  <c r="L59" i="10" s="1"/>
  <c r="K60" i="10"/>
  <c r="L60" i="10" s="1"/>
  <c r="K32" i="10"/>
  <c r="L32" i="10" s="1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32" i="10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5" i="9"/>
  <c r="V7" i="9" l="1"/>
  <c r="AD26" i="1"/>
  <c r="A12" i="7"/>
  <c r="L7" i="10"/>
  <c r="L6" i="10"/>
  <c r="V5" i="10"/>
  <c r="V12" i="10"/>
  <c r="V8" i="10"/>
  <c r="V10" i="10"/>
  <c r="V15" i="10"/>
  <c r="V11" i="10"/>
  <c r="V6" i="10"/>
  <c r="V13" i="10"/>
  <c r="V9" i="10"/>
  <c r="V7" i="10"/>
  <c r="V14" i="10"/>
  <c r="L9" i="10"/>
  <c r="L5" i="10"/>
  <c r="L8" i="10"/>
  <c r="C6" i="10"/>
  <c r="C8" i="10"/>
  <c r="C5" i="10"/>
  <c r="C7" i="10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4" i="12"/>
  <c r="C3" i="8"/>
  <c r="A3" i="8"/>
  <c r="B5" i="9"/>
  <c r="V6" i="9" s="1"/>
  <c r="AD27" i="1" l="1"/>
  <c r="A13" i="7"/>
  <c r="V4" i="9"/>
  <c r="D6" i="12" a="1"/>
  <c r="D6" i="12" s="1"/>
  <c r="V5" i="9"/>
  <c r="P5" i="9"/>
  <c r="M5" i="9"/>
  <c r="O5" i="9"/>
  <c r="O6" i="9"/>
  <c r="P6" i="9"/>
  <c r="M6" i="9"/>
  <c r="AD28" i="1" l="1"/>
  <c r="A14" i="7"/>
  <c r="G6" i="12"/>
  <c r="H6" i="12"/>
  <c r="J6" i="12"/>
  <c r="F6" i="12"/>
  <c r="I6" i="12"/>
  <c r="E6" i="12"/>
  <c r="D7" i="12" a="1"/>
  <c r="D7" i="12" s="1"/>
  <c r="AD29" i="1" l="1"/>
  <c r="A15" i="7"/>
  <c r="G7" i="12"/>
  <c r="H7" i="12"/>
  <c r="E7" i="12"/>
  <c r="F7" i="12"/>
  <c r="J7" i="12"/>
  <c r="I7" i="12"/>
  <c r="D8" i="12" a="1"/>
  <c r="D8" i="12" s="1"/>
  <c r="AD30" i="1" l="1"/>
  <c r="A16" i="7"/>
  <c r="I8" i="12"/>
  <c r="G8" i="12"/>
  <c r="H8" i="12"/>
  <c r="E8" i="12"/>
  <c r="F8" i="12"/>
  <c r="J8" i="12"/>
  <c r="D9" i="12" a="1"/>
  <c r="D9" i="12" s="1"/>
  <c r="AD31" i="1" l="1"/>
  <c r="A17" i="7"/>
  <c r="F9" i="12"/>
  <c r="J9" i="12"/>
  <c r="I9" i="12"/>
  <c r="G9" i="12"/>
  <c r="H9" i="12"/>
  <c r="E9" i="12"/>
  <c r="D10" i="12" a="1"/>
  <c r="D10" i="12" s="1"/>
  <c r="AD32" i="1" l="1"/>
  <c r="A18" i="7"/>
  <c r="H10" i="12"/>
  <c r="E10" i="12"/>
  <c r="F10" i="12"/>
  <c r="J10" i="12"/>
  <c r="I10" i="12"/>
  <c r="G10" i="12"/>
  <c r="D11" i="12" a="1"/>
  <c r="D11" i="12" s="1"/>
  <c r="AD33" i="1" l="1"/>
  <c r="A19" i="7"/>
  <c r="G11" i="12"/>
  <c r="H11" i="12"/>
  <c r="E11" i="12"/>
  <c r="F11" i="12"/>
  <c r="I11" i="12"/>
  <c r="D12" i="12" a="1"/>
  <c r="D12" i="12" s="1"/>
  <c r="AD34" i="1" l="1"/>
  <c r="A20" i="7"/>
  <c r="I12" i="12"/>
  <c r="G12" i="12"/>
  <c r="H12" i="12"/>
  <c r="E12" i="12"/>
  <c r="J12" i="12"/>
  <c r="F12" i="12"/>
  <c r="D13" i="12" a="1"/>
  <c r="D13" i="12" s="1"/>
  <c r="AD35" i="1" l="1"/>
  <c r="A21" i="7"/>
  <c r="F13" i="12"/>
  <c r="I13" i="12"/>
  <c r="G13" i="12"/>
  <c r="H13" i="12"/>
  <c r="E13" i="12"/>
  <c r="J13" i="12"/>
  <c r="D14" i="12" a="1"/>
  <c r="D14" i="12" s="1"/>
  <c r="AD36" i="1" l="1"/>
  <c r="A22" i="7"/>
  <c r="H14" i="12"/>
  <c r="E14" i="12"/>
  <c r="J14" i="12"/>
  <c r="F14" i="12"/>
  <c r="I14" i="12"/>
  <c r="G14" i="12"/>
  <c r="D15" i="12" a="1"/>
  <c r="D15" i="12" s="1"/>
  <c r="AD37" i="1" l="1"/>
  <c r="A23" i="7"/>
  <c r="G15" i="12"/>
  <c r="H15" i="12"/>
  <c r="E15" i="12"/>
  <c r="J15" i="12"/>
  <c r="F15" i="12"/>
  <c r="I15" i="12"/>
  <c r="D16" i="12" a="1"/>
  <c r="D16" i="12" s="1"/>
  <c r="AD38" i="1" l="1"/>
  <c r="A24" i="7"/>
  <c r="I16" i="12"/>
  <c r="G16" i="12"/>
  <c r="H16" i="12"/>
  <c r="E16" i="12"/>
  <c r="J16" i="12"/>
  <c r="F16" i="12"/>
  <c r="D17" i="12" a="1"/>
  <c r="D17" i="12" s="1"/>
  <c r="AD39" i="1" l="1"/>
  <c r="A25" i="7"/>
  <c r="F17" i="12"/>
  <c r="I17" i="12"/>
  <c r="G17" i="12"/>
  <c r="H17" i="12"/>
  <c r="E17" i="12"/>
  <c r="J17" i="12"/>
  <c r="D18" i="12" a="1"/>
  <c r="D18" i="12" s="1"/>
  <c r="AD40" i="1" l="1"/>
  <c r="A26" i="7"/>
  <c r="H18" i="12"/>
  <c r="E18" i="12"/>
  <c r="J18" i="12"/>
  <c r="F18" i="12"/>
  <c r="I18" i="12"/>
  <c r="G18" i="12"/>
  <c r="D19" i="12" a="1"/>
  <c r="D19" i="12" s="1"/>
  <c r="AD41" i="1" l="1"/>
  <c r="A27" i="7"/>
  <c r="G19" i="12"/>
  <c r="H19" i="12"/>
  <c r="E19" i="12"/>
  <c r="J19" i="12"/>
  <c r="F19" i="12"/>
  <c r="I19" i="12"/>
  <c r="D20" i="12" a="1"/>
  <c r="D20" i="12" s="1"/>
  <c r="AD42" i="1" l="1"/>
  <c r="A28" i="7"/>
  <c r="I20" i="12"/>
  <c r="G20" i="12"/>
  <c r="H20" i="12"/>
  <c r="E20" i="12"/>
  <c r="J20" i="12"/>
  <c r="F20" i="12"/>
  <c r="D21" i="12" a="1"/>
  <c r="D21" i="12" s="1"/>
  <c r="AD43" i="1" l="1"/>
  <c r="A29" i="7"/>
  <c r="F21" i="12"/>
  <c r="I21" i="12"/>
  <c r="G21" i="12"/>
  <c r="H21" i="12"/>
  <c r="E21" i="12"/>
  <c r="J21" i="12"/>
  <c r="D22" i="12" a="1"/>
  <c r="D22" i="12" s="1"/>
  <c r="AD44" i="1" l="1"/>
  <c r="A30" i="7"/>
  <c r="H22" i="12"/>
  <c r="E22" i="12"/>
  <c r="J22" i="12"/>
  <c r="F22" i="12"/>
  <c r="I22" i="12"/>
  <c r="G22" i="12"/>
  <c r="D23" i="12" a="1"/>
  <c r="D23" i="12" s="1"/>
  <c r="B3" i="8"/>
  <c r="F5" i="8" s="1"/>
  <c r="AF32" i="10"/>
  <c r="AD45" i="1" l="1"/>
  <c r="A31" i="7"/>
  <c r="E5" i="8"/>
  <c r="G23" i="12"/>
  <c r="H23" i="12"/>
  <c r="E23" i="12"/>
  <c r="J23" i="12"/>
  <c r="F23" i="12"/>
  <c r="I23" i="12"/>
  <c r="D24" i="12" a="1"/>
  <c r="D24" i="12" s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D46" i="1" l="1"/>
  <c r="A32" i="7"/>
  <c r="I24" i="12"/>
  <c r="G24" i="12"/>
  <c r="H24" i="12"/>
  <c r="E24" i="12"/>
  <c r="J24" i="12"/>
  <c r="F24" i="12"/>
  <c r="D25" i="12" a="1"/>
  <c r="D25" i="12" s="1"/>
  <c r="Z22" i="6"/>
  <c r="V22" i="6"/>
  <c r="U22" i="6"/>
  <c r="O22" i="6"/>
  <c r="X22" i="6" s="1"/>
  <c r="N22" i="6"/>
  <c r="M22" i="6"/>
  <c r="AD47" i="1" l="1"/>
  <c r="A33" i="7"/>
  <c r="F25" i="12"/>
  <c r="I25" i="12"/>
  <c r="G25" i="12"/>
  <c r="H25" i="12"/>
  <c r="E25" i="12"/>
  <c r="J25" i="12"/>
  <c r="D26" i="12" a="1"/>
  <c r="D26" i="12" s="1"/>
  <c r="AD48" i="1" l="1"/>
  <c r="A34" i="7"/>
  <c r="H26" i="12"/>
  <c r="E26" i="12"/>
  <c r="J26" i="12"/>
  <c r="F26" i="12"/>
  <c r="I26" i="12"/>
  <c r="G26" i="12"/>
  <c r="D27" i="12" a="1"/>
  <c r="D27" i="12" s="1"/>
  <c r="D28" i="12" s="1" a="1"/>
  <c r="D28" i="12" s="1"/>
  <c r="D29" i="12" s="1" a="1"/>
  <c r="D29" i="12" s="1"/>
  <c r="D30" i="12" s="1" a="1"/>
  <c r="D30" i="12" s="1"/>
  <c r="D31" i="12" s="1" a="1"/>
  <c r="D31" i="12" s="1"/>
  <c r="D32" i="12" s="1" a="1"/>
  <c r="D32" i="12" s="1"/>
  <c r="D33" i="12" s="1" a="1"/>
  <c r="D33" i="12" s="1"/>
  <c r="D34" i="12" s="1" a="1"/>
  <c r="D34" i="12" s="1"/>
  <c r="D35" i="12" s="1" a="1"/>
  <c r="D35" i="12" s="1"/>
  <c r="D36" i="12" s="1" a="1"/>
  <c r="D36" i="12" s="1"/>
  <c r="D37" i="12" s="1" a="1"/>
  <c r="D37" i="12" s="1"/>
  <c r="D38" i="12" s="1" a="1"/>
  <c r="D38" i="12" s="1"/>
  <c r="D39" i="12" s="1" a="1"/>
  <c r="D39" i="12" s="1"/>
  <c r="AD49" i="1" l="1"/>
  <c r="AD50" i="1" s="1"/>
  <c r="AD51" i="1" s="1"/>
  <c r="AD52" i="1" s="1"/>
  <c r="AD53" i="1" s="1"/>
  <c r="AD54" i="1" s="1"/>
  <c r="AD55" i="1" s="1"/>
  <c r="AD56" i="1" s="1"/>
  <c r="AD57" i="1" s="1"/>
  <c r="AD58" i="1" s="1"/>
  <c r="AD59" i="1" s="1"/>
  <c r="AD60" i="1" s="1"/>
  <c r="AD61" i="1" s="1"/>
  <c r="AD62" i="1" s="1"/>
  <c r="A35" i="7"/>
  <c r="G5" i="8"/>
  <c r="N6" i="9" l="1"/>
  <c r="N5" i="9"/>
  <c r="M7" i="9"/>
  <c r="C9" i="10" l="1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AF8" i="10" l="1"/>
  <c r="A28" i="8" l="1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F43" i="10" l="1"/>
  <c r="AF42" i="10"/>
  <c r="AF7" i="10"/>
  <c r="AF6" i="10"/>
  <c r="AF9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3" i="7" l="1"/>
  <c r="A4" i="7" l="1"/>
  <c r="A5" i="7" l="1"/>
  <c r="A6" i="7" l="1"/>
  <c r="A7" i="7" l="1"/>
  <c r="A8" i="7" l="1"/>
</calcChain>
</file>

<file path=xl/sharedStrings.xml><?xml version="1.0" encoding="utf-8"?>
<sst xmlns="http://schemas.openxmlformats.org/spreadsheetml/2006/main" count="246" uniqueCount="136">
  <si>
    <t>Intro &amp; Instructions</t>
  </si>
  <si>
    <t>Name:</t>
  </si>
  <si>
    <t>NAME HERE</t>
  </si>
  <si>
    <t>Trade Exit Codes</t>
  </si>
  <si>
    <t>Start Date:</t>
  </si>
  <si>
    <t>S1</t>
  </si>
  <si>
    <t>Hit Initial Stop Loss 1</t>
  </si>
  <si>
    <t>End Date:</t>
  </si>
  <si>
    <t>S2+</t>
  </si>
  <si>
    <t>Hit Trailing Stop 2+</t>
  </si>
  <si>
    <t>Initial Balance:</t>
  </si>
  <si>
    <t>ME</t>
  </si>
  <si>
    <t>Manual Exit</t>
  </si>
  <si>
    <t>T</t>
  </si>
  <si>
    <t>Target Hit</t>
  </si>
  <si>
    <t>Mood/Confidence Codes</t>
  </si>
  <si>
    <t>Extremely Unhappy / Stressed</t>
  </si>
  <si>
    <t>Rather Unhappy / Discontent</t>
  </si>
  <si>
    <t>Neutral</t>
  </si>
  <si>
    <t>Happy / Confident</t>
  </si>
  <si>
    <t>Extremely Happy, calm and confident</t>
  </si>
  <si>
    <t>B</t>
  </si>
  <si>
    <t>Buy / Long</t>
  </si>
  <si>
    <t>S</t>
  </si>
  <si>
    <t xml:space="preserve">Sell / Short </t>
  </si>
  <si>
    <t>Example</t>
  </si>
  <si>
    <t>Asset</t>
  </si>
  <si>
    <t>Date</t>
  </si>
  <si>
    <t>Mood (1-5)</t>
  </si>
  <si>
    <t>B/S</t>
  </si>
  <si>
    <t>Size (K)</t>
  </si>
  <si>
    <t>Open @</t>
  </si>
  <si>
    <t>Stop 1</t>
  </si>
  <si>
    <t>Stop 2</t>
  </si>
  <si>
    <t>Stop 3</t>
  </si>
  <si>
    <t>Target</t>
  </si>
  <si>
    <t>Initial Risk</t>
  </si>
  <si>
    <t>Initial Reward</t>
  </si>
  <si>
    <t>INITIAL RRR</t>
  </si>
  <si>
    <t>ACTUAL RRR</t>
  </si>
  <si>
    <t>Closed @</t>
  </si>
  <si>
    <t>Date/Time</t>
  </si>
  <si>
    <t>Exit</t>
  </si>
  <si>
    <t>ME + Hit Stop</t>
  </si>
  <si>
    <t>ME + Hit Target</t>
  </si>
  <si>
    <t>P/L  gained or lost</t>
  </si>
  <si>
    <t>Duration (Hours)</t>
  </si>
  <si>
    <t>Net P/L (£)</t>
  </si>
  <si>
    <t>P/L (Pips)</t>
  </si>
  <si>
    <t>Running P/L</t>
  </si>
  <si>
    <t>Trade Sheet Name</t>
  </si>
  <si>
    <t>GBPUSD</t>
  </si>
  <si>
    <r>
      <t>START OFFICIAL TRACKING ON '</t>
    </r>
    <r>
      <rPr>
        <b/>
        <sz val="14"/>
        <color rgb="FF00B050"/>
        <rFont val="Calibri"/>
        <family val="2"/>
        <scheme val="minor"/>
      </rPr>
      <t>TRADE BLOTTER</t>
    </r>
    <r>
      <rPr>
        <b/>
        <sz val="14"/>
        <color rgb="FFFF0000"/>
        <rFont val="Calibri"/>
        <family val="2"/>
        <scheme val="minor"/>
      </rPr>
      <t>' WORKSHEET</t>
    </r>
  </si>
  <si>
    <t>TRADE BLOTTER</t>
  </si>
  <si>
    <t>DO NOT TYPE IN ANY GREY CELLS!!!</t>
  </si>
  <si>
    <t>SAMPLE TRADES</t>
  </si>
  <si>
    <t>Trade Exit</t>
  </si>
  <si>
    <t>Trading Statistics</t>
  </si>
  <si>
    <t>Trade Sheets</t>
  </si>
  <si>
    <t>Example Points System</t>
  </si>
  <si>
    <t>£/pip</t>
  </si>
  <si>
    <t>Pip Risk</t>
  </si>
  <si>
    <t>Patterns (10)</t>
  </si>
  <si>
    <t>S/R (10)</t>
  </si>
  <si>
    <t>Candles (3)</t>
  </si>
  <si>
    <t>RSI (3)</t>
  </si>
  <si>
    <t>Fibs (3)</t>
  </si>
  <si>
    <t>TOTAL</t>
  </si>
  <si>
    <t>EURUSD</t>
  </si>
  <si>
    <t>y</t>
  </si>
  <si>
    <t>DAX</t>
  </si>
  <si>
    <t>GOLD</t>
  </si>
  <si>
    <t>Name</t>
  </si>
  <si>
    <t>Opening Balance</t>
  </si>
  <si>
    <t>Trade Entry</t>
  </si>
  <si>
    <t>Your Points System</t>
  </si>
  <si>
    <t>Lot Size</t>
  </si>
  <si>
    <t>Stop 4</t>
  </si>
  <si>
    <t>Target in Pips</t>
  </si>
  <si>
    <t>Y</t>
  </si>
  <si>
    <t>NOTE: Have to drag so to include all the data</t>
  </si>
  <si>
    <t>Equity Curve</t>
  </si>
  <si>
    <t>DO NOT TYPE OVER ANY GREY CELLS!!!</t>
  </si>
  <si>
    <t>PnL</t>
  </si>
  <si>
    <t>Net PnL (£)</t>
  </si>
  <si>
    <t>NOTE: Have to copy Cells A% and B5 down to include all the data</t>
  </si>
  <si>
    <t>COUNT</t>
  </si>
  <si>
    <t>HIT</t>
  </si>
  <si>
    <t>AVG</t>
  </si>
  <si>
    <t>MAX</t>
  </si>
  <si>
    <t>Avg Long Win</t>
  </si>
  <si>
    <t>Winners</t>
  </si>
  <si>
    <t>Avg Short Win</t>
  </si>
  <si>
    <t>Losers</t>
  </si>
  <si>
    <t>Avg Long Loss</t>
  </si>
  <si>
    <t>Total</t>
  </si>
  <si>
    <t>Avg Short Loss</t>
  </si>
  <si>
    <t>RRR</t>
  </si>
  <si>
    <t>Initial RRR</t>
  </si>
  <si>
    <t>Actual RRR</t>
  </si>
  <si>
    <t>Winning Position</t>
  </si>
  <si>
    <t>On Entry</t>
  </si>
  <si>
    <t>On Exit</t>
  </si>
  <si>
    <t>Per Asset Stats</t>
  </si>
  <si>
    <t>Assets Traded</t>
  </si>
  <si>
    <t>Wins</t>
  </si>
  <si>
    <t>Losses</t>
  </si>
  <si>
    <t>Total trades</t>
  </si>
  <si>
    <t>P/L</t>
  </si>
  <si>
    <t>Number</t>
  </si>
  <si>
    <t>Other Stats</t>
  </si>
  <si>
    <t>Days Traded</t>
  </si>
  <si>
    <t>Times Traded</t>
  </si>
  <si>
    <t>Trade Duration (Hours)</t>
  </si>
  <si>
    <t>Monday</t>
  </si>
  <si>
    <t>6:00-8:00</t>
  </si>
  <si>
    <t>Average</t>
  </si>
  <si>
    <t>Tuesday</t>
  </si>
  <si>
    <t>8:00-10:00</t>
  </si>
  <si>
    <t>Long Win</t>
  </si>
  <si>
    <t>Wednesday</t>
  </si>
  <si>
    <t>10:00-12:00</t>
  </si>
  <si>
    <t>Short Win</t>
  </si>
  <si>
    <t>Thursday</t>
  </si>
  <si>
    <t>12:00-14:00</t>
  </si>
  <si>
    <t>Long Loss</t>
  </si>
  <si>
    <t>Friday</t>
  </si>
  <si>
    <t>14:00-16:00</t>
  </si>
  <si>
    <t>Short Loss</t>
  </si>
  <si>
    <t>16:00-18:00</t>
  </si>
  <si>
    <t>18:00-20:00</t>
  </si>
  <si>
    <t>22:00-00:00</t>
  </si>
  <si>
    <t>00:00-02:00</t>
  </si>
  <si>
    <t>02:00-04:00</t>
  </si>
  <si>
    <t>04:00-06:00</t>
  </si>
  <si>
    <t>Net 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</si>
</sst>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£&quot;#,##0.00;[Red]\-&quot;£&quot;#,##0.00"/>
    <numFmt numFmtId="165" formatCode="_-&quot;£&quot;* #,##0.00_-;\-&quot;£&quot;* #,##0.00_-;_-&quot;£&quot;* &quot;-&quot;??_-;_-@_-"/>
    <numFmt numFmtId="166" formatCode="0.0000"/>
    <numFmt numFmtId="167" formatCode="0.0"/>
    <numFmt numFmtId="168" formatCode="#,##0.00000"/>
    <numFmt numFmtId="169" formatCode="0.000"/>
    <numFmt numFmtId="170" formatCode="&quot;£&quot;#,##0.00"/>
    <numFmt numFmtId="171" formatCode="0.00000"/>
    <numFmt numFmtId="172" formatCode="[$£-809]#,##0.00;[Red][$£-809]#,##0.00"/>
    <numFmt numFmtId="173" formatCode="_-[$£-809]* #,##0.00_-;\-[$£-809]* #,##0.00_-;_-[$£-809]* &quot;-&quot;??_-;_-@_-"/>
  </numFmts>
  <fonts count="2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2"/>
      <color rgb="FF0A0101"/>
      <name val="Arial"/>
      <family val="2"/>
    </font>
    <font>
      <b/>
      <u/>
      <sz val="24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i/>
      <sz val="11"/>
      <color theme="1" tint="0.34998626667073579"/>
      <name val="Calibri"/>
      <family val="2"/>
      <scheme val="minor"/>
    </font>
    <font>
      <b/>
      <u/>
      <sz val="2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0">
    <xf numFmtId="0" fontId="0" fillId="0" borderId="0" xfId="0"/>
    <xf numFmtId="2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70" fontId="1" fillId="2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1" fontId="1" fillId="5" borderId="1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2" fontId="4" fillId="7" borderId="5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22" fontId="1" fillId="8" borderId="1" xfId="0" applyNumberFormat="1" applyFont="1" applyFill="1" applyBorder="1" applyAlignment="1">
      <alignment horizontal="center" vertical="center" wrapText="1"/>
    </xf>
    <xf numFmtId="168" fontId="1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 vertical="center"/>
    </xf>
    <xf numFmtId="170" fontId="1" fillId="8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9" fillId="0" borderId="0" xfId="0" applyFont="1"/>
    <xf numFmtId="22" fontId="2" fillId="2" borderId="3" xfId="0" applyNumberFormat="1" applyFont="1" applyFill="1" applyBorder="1" applyAlignment="1">
      <alignment horizontal="center" vertical="center"/>
    </xf>
    <xf numFmtId="0" fontId="7" fillId="0" borderId="0" xfId="0" applyFont="1"/>
    <xf numFmtId="173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8" borderId="0" xfId="0" applyFont="1" applyFill="1" applyAlignment="1">
      <alignment horizontal="center"/>
    </xf>
    <xf numFmtId="49" fontId="0" fillId="0" borderId="0" xfId="0" applyNumberFormat="1"/>
    <xf numFmtId="173" fontId="0" fillId="0" borderId="0" xfId="0" applyNumberFormat="1"/>
    <xf numFmtId="16" fontId="0" fillId="0" borderId="0" xfId="0" applyNumberFormat="1"/>
    <xf numFmtId="0" fontId="0" fillId="12" borderId="0" xfId="0" applyFill="1"/>
    <xf numFmtId="0" fontId="10" fillId="0" borderId="0" xfId="0" applyFont="1"/>
    <xf numFmtId="0" fontId="11" fillId="0" borderId="0" xfId="0" applyFont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22" fontId="12" fillId="2" borderId="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2" borderId="1" xfId="0" applyNumberFormat="1" applyFont="1" applyFill="1" applyBorder="1" applyAlignment="1">
      <alignment horizontal="center" vertical="center"/>
    </xf>
    <xf numFmtId="171" fontId="12" fillId="2" borderId="1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22" fontId="12" fillId="2" borderId="5" xfId="0" applyNumberFormat="1" applyFont="1" applyFill="1" applyBorder="1" applyAlignment="1">
      <alignment horizontal="center" vertical="center"/>
    </xf>
    <xf numFmtId="171" fontId="12" fillId="2" borderId="5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70" fontId="12" fillId="2" borderId="1" xfId="0" applyNumberFormat="1" applyFont="1" applyFill="1" applyBorder="1" applyAlignment="1">
      <alignment horizontal="center" vertical="center"/>
    </xf>
    <xf numFmtId="170" fontId="12" fillId="2" borderId="5" xfId="0" applyNumberFormat="1" applyFont="1" applyFill="1" applyBorder="1" applyAlignment="1">
      <alignment horizontal="center" vertical="center"/>
    </xf>
    <xf numFmtId="2" fontId="12" fillId="7" borderId="5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22" fontId="12" fillId="8" borderId="1" xfId="0" applyNumberFormat="1" applyFont="1" applyFill="1" applyBorder="1" applyAlignment="1">
      <alignment horizontal="center" vertical="center"/>
    </xf>
    <xf numFmtId="167" fontId="12" fillId="0" borderId="5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4" fontId="12" fillId="4" borderId="1" xfId="0" applyNumberFormat="1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2" fontId="10" fillId="4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0" borderId="0" xfId="0" applyFont="1" applyFill="1"/>
    <xf numFmtId="0" fontId="7" fillId="11" borderId="0" xfId="0" applyFont="1" applyFill="1"/>
    <xf numFmtId="0" fontId="7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6" fillId="0" borderId="0" xfId="0" applyFont="1"/>
    <xf numFmtId="164" fontId="1" fillId="13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center"/>
    </xf>
    <xf numFmtId="2" fontId="4" fillId="13" borderId="0" xfId="0" applyNumberFormat="1" applyFont="1" applyFill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173" fontId="0" fillId="13" borderId="0" xfId="0" applyNumberFormat="1" applyFill="1"/>
    <xf numFmtId="0" fontId="0" fillId="13" borderId="0" xfId="0" applyFill="1"/>
    <xf numFmtId="22" fontId="0" fillId="13" borderId="0" xfId="0" applyNumberFormat="1" applyFill="1"/>
    <xf numFmtId="1" fontId="0" fillId="13" borderId="0" xfId="0" applyNumberFormat="1" applyFill="1"/>
    <xf numFmtId="0" fontId="1" fillId="13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9" fontId="0" fillId="13" borderId="0" xfId="2" applyFont="1" applyFill="1" applyBorder="1" applyAlignment="1">
      <alignment horizontal="center"/>
    </xf>
    <xf numFmtId="2" fontId="0" fillId="13" borderId="0" xfId="0" applyNumberFormat="1" applyFill="1" applyAlignment="1">
      <alignment horizontal="center"/>
    </xf>
    <xf numFmtId="164" fontId="0" fillId="13" borderId="0" xfId="0" applyNumberFormat="1" applyFill="1" applyAlignment="1">
      <alignment horizontal="center"/>
    </xf>
    <xf numFmtId="173" fontId="1" fillId="13" borderId="0" xfId="0" applyNumberFormat="1" applyFont="1" applyFill="1" applyAlignment="1">
      <alignment horizontal="center" vertical="center"/>
    </xf>
    <xf numFmtId="173" fontId="0" fillId="13" borderId="0" xfId="0" applyNumberFormat="1" applyFill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171" fontId="12" fillId="2" borderId="4" xfId="0" applyNumberFormat="1" applyFont="1" applyFill="1" applyBorder="1" applyAlignment="1">
      <alignment horizontal="center" vertical="center"/>
    </xf>
    <xf numFmtId="2" fontId="12" fillId="2" borderId="4" xfId="0" applyNumberFormat="1" applyFont="1" applyFill="1" applyBorder="1" applyAlignment="1">
      <alignment horizontal="center" vertical="center"/>
    </xf>
    <xf numFmtId="1" fontId="18" fillId="0" borderId="0" xfId="0" applyNumberFormat="1" applyFont="1" applyAlignment="1">
      <alignment horizontal="left" vertical="center"/>
    </xf>
    <xf numFmtId="170" fontId="17" fillId="0" borderId="6" xfId="0" applyNumberFormat="1" applyFont="1" applyBorder="1" applyAlignment="1">
      <alignment vertical="center"/>
    </xf>
    <xf numFmtId="167" fontId="1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2" fontId="3" fillId="2" borderId="1" xfId="0" applyNumberFormat="1" applyFont="1" applyFill="1" applyBorder="1" applyAlignment="1">
      <alignment horizontal="center" vertical="center" wrapText="1"/>
    </xf>
    <xf numFmtId="170" fontId="3" fillId="2" borderId="1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22" fontId="3" fillId="8" borderId="1" xfId="0" applyNumberFormat="1" applyFont="1" applyFill="1" applyBorder="1" applyAlignment="1">
      <alignment horizontal="center" vertical="center" wrapText="1"/>
    </xf>
    <xf numFmtId="168" fontId="3" fillId="8" borderId="1" xfId="0" applyNumberFormat="1" applyFont="1" applyFill="1" applyBorder="1" applyAlignment="1">
      <alignment horizontal="center" vertical="center" wrapText="1"/>
    </xf>
    <xf numFmtId="170" fontId="3" fillId="8" borderId="1" xfId="0" applyNumberFormat="1" applyFont="1" applyFill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12" fillId="2" borderId="4" xfId="0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15" borderId="1" xfId="0" applyNumberFormat="1" applyFont="1" applyFill="1" applyBorder="1" applyAlignment="1">
      <alignment horizontal="center" vertical="center" wrapText="1"/>
    </xf>
    <xf numFmtId="1" fontId="12" fillId="15" borderId="5" xfId="0" applyNumberFormat="1" applyFont="1" applyFill="1" applyBorder="1" applyAlignment="1">
      <alignment horizontal="center" vertical="center"/>
    </xf>
    <xf numFmtId="1" fontId="19" fillId="15" borderId="5" xfId="0" applyNumberFormat="1" applyFont="1" applyFill="1" applyBorder="1" applyAlignment="1">
      <alignment horizontal="center" vertical="center"/>
    </xf>
    <xf numFmtId="1" fontId="1" fillId="15" borderId="5" xfId="0" applyNumberFormat="1" applyFont="1" applyFill="1" applyBorder="1" applyAlignment="1">
      <alignment horizontal="center" vertical="center"/>
    </xf>
    <xf numFmtId="1" fontId="3" fillId="15" borderId="5" xfId="0" applyNumberFormat="1" applyFont="1" applyFill="1" applyBorder="1" applyAlignment="1">
      <alignment horizontal="center" vertical="center"/>
    </xf>
    <xf numFmtId="171" fontId="12" fillId="2" borderId="9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67" fontId="1" fillId="0" borderId="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2" fontId="12" fillId="0" borderId="5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22" fontId="5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70" fontId="5" fillId="6" borderId="1" xfId="0" applyNumberFormat="1" applyFont="1" applyFill="1" applyBorder="1" applyAlignment="1">
      <alignment vertical="center"/>
    </xf>
    <xf numFmtId="164" fontId="0" fillId="13" borderId="0" xfId="1" applyNumberFormat="1" applyFont="1" applyFill="1"/>
    <xf numFmtId="164" fontId="1" fillId="14" borderId="1" xfId="0" applyNumberFormat="1" applyFont="1" applyFill="1" applyBorder="1" applyAlignment="1">
      <alignment horizontal="center" vertical="center"/>
    </xf>
    <xf numFmtId="164" fontId="1" fillId="14" borderId="5" xfId="0" applyNumberFormat="1" applyFont="1" applyFill="1" applyBorder="1" applyAlignment="1">
      <alignment horizontal="center" vertical="center"/>
    </xf>
    <xf numFmtId="164" fontId="12" fillId="14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22" fontId="3" fillId="14" borderId="1" xfId="0" applyNumberFormat="1" applyFont="1" applyFill="1" applyBorder="1" applyAlignment="1">
      <alignment horizontal="center" vertical="center" wrapText="1"/>
    </xf>
    <xf numFmtId="171" fontId="12" fillId="14" borderId="1" xfId="0" applyNumberFormat="1" applyFont="1" applyFill="1" applyBorder="1" applyAlignment="1">
      <alignment horizontal="center" vertical="center"/>
    </xf>
    <xf numFmtId="22" fontId="12" fillId="14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171" fontId="12" fillId="14" borderId="5" xfId="0" applyNumberFormat="1" applyFont="1" applyFill="1" applyBorder="1" applyAlignment="1">
      <alignment horizontal="center" vertical="center"/>
    </xf>
    <xf numFmtId="22" fontId="12" fillId="14" borderId="5" xfId="0" applyNumberFormat="1" applyFont="1" applyFill="1" applyBorder="1" applyAlignment="1">
      <alignment horizontal="center" vertical="center"/>
    </xf>
    <xf numFmtId="0" fontId="12" fillId="14" borderId="5" xfId="0" applyFont="1" applyFill="1" applyBorder="1" applyAlignment="1">
      <alignment horizontal="center" vertical="center"/>
    </xf>
    <xf numFmtId="167" fontId="12" fillId="14" borderId="1" xfId="0" applyNumberFormat="1" applyFont="1" applyFill="1" applyBorder="1" applyAlignment="1">
      <alignment horizontal="center" vertical="center"/>
    </xf>
    <xf numFmtId="2" fontId="12" fillId="14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168" fontId="3" fillId="14" borderId="1" xfId="0" applyNumberFormat="1" applyFont="1" applyFill="1" applyBorder="1" applyAlignment="1">
      <alignment horizontal="center" vertical="center" wrapText="1"/>
    </xf>
    <xf numFmtId="170" fontId="3" fillId="14" borderId="1" xfId="0" applyNumberFormat="1" applyFont="1" applyFill="1" applyBorder="1" applyAlignment="1">
      <alignment horizontal="center" vertical="center" wrapText="1"/>
    </xf>
    <xf numFmtId="170" fontId="12" fillId="0" borderId="1" xfId="0" applyNumberFormat="1" applyFont="1" applyBorder="1" applyAlignment="1">
      <alignment horizontal="center" vertical="center"/>
    </xf>
    <xf numFmtId="167" fontId="17" fillId="0" borderId="6" xfId="0" applyNumberFormat="1" applyFont="1" applyBorder="1" applyAlignment="1">
      <alignment vertical="center"/>
    </xf>
    <xf numFmtId="170" fontId="20" fillId="0" borderId="6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70" fontId="3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/>
    </xf>
    <xf numFmtId="170" fontId="12" fillId="4" borderId="1" xfId="0" applyNumberFormat="1" applyFont="1" applyFill="1" applyBorder="1" applyAlignment="1">
      <alignment horizontal="center" vertical="center"/>
    </xf>
    <xf numFmtId="2" fontId="12" fillId="4" borderId="5" xfId="0" applyNumberFormat="1" applyFont="1" applyFill="1" applyBorder="1" applyAlignment="1">
      <alignment horizontal="center" vertical="center"/>
    </xf>
    <xf numFmtId="169" fontId="12" fillId="2" borderId="1" xfId="0" applyNumberFormat="1" applyFont="1" applyFill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66" fontId="12" fillId="2" borderId="1" xfId="0" applyNumberFormat="1" applyFont="1" applyFill="1" applyBorder="1" applyAlignment="1">
      <alignment horizontal="center" vertical="center"/>
    </xf>
    <xf numFmtId="166" fontId="12" fillId="2" borderId="4" xfId="0" applyNumberFormat="1" applyFont="1" applyFill="1" applyBorder="1" applyAlignment="1">
      <alignment horizontal="center" vertical="center"/>
    </xf>
    <xf numFmtId="166" fontId="12" fillId="14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  <xf numFmtId="164" fontId="1" fillId="8" borderId="2" xfId="0" applyNumberFormat="1" applyFont="1" applyFill="1" applyBorder="1" applyAlignment="1">
      <alignment horizontal="left" vertical="center"/>
    </xf>
    <xf numFmtId="164" fontId="1" fillId="8" borderId="4" xfId="0" applyNumberFormat="1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1" fontId="2" fillId="15" borderId="2" xfId="0" applyNumberFormat="1" applyFont="1" applyFill="1" applyBorder="1" applyAlignment="1">
      <alignment horizontal="center" vertical="center"/>
    </xf>
    <xf numFmtId="1" fontId="2" fillId="15" borderId="3" xfId="0" applyNumberFormat="1" applyFont="1" applyFill="1" applyBorder="1" applyAlignment="1">
      <alignment horizontal="center" vertical="center"/>
    </xf>
    <xf numFmtId="1" fontId="2" fillId="15" borderId="4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22" fontId="2" fillId="2" borderId="2" xfId="0" applyNumberFormat="1" applyFont="1" applyFill="1" applyBorder="1" applyAlignment="1">
      <alignment horizontal="center" vertical="center"/>
    </xf>
    <xf numFmtId="22" fontId="2" fillId="2" borderId="3" xfId="0" applyNumberFormat="1" applyFont="1" applyFill="1" applyBorder="1" applyAlignment="1">
      <alignment horizontal="center" vertical="center"/>
    </xf>
    <xf numFmtId="22" fontId="2" fillId="2" borderId="4" xfId="0" applyNumberFormat="1" applyFont="1" applyFill="1" applyBorder="1" applyAlignment="1">
      <alignment horizontal="center" vertical="center"/>
    </xf>
    <xf numFmtId="166" fontId="2" fillId="8" borderId="2" xfId="0" applyNumberFormat="1" applyFont="1" applyFill="1" applyBorder="1" applyAlignment="1">
      <alignment horizontal="center" vertical="center"/>
    </xf>
    <xf numFmtId="166" fontId="2" fillId="8" borderId="3" xfId="0" applyNumberFormat="1" applyFont="1" applyFill="1" applyBorder="1" applyAlignment="1">
      <alignment horizontal="center" vertical="center"/>
    </xf>
    <xf numFmtId="170" fontId="2" fillId="0" borderId="1" xfId="0" applyNumberFormat="1" applyFont="1" applyBorder="1" applyAlignment="1">
      <alignment horizontal="center" vertical="center"/>
    </xf>
    <xf numFmtId="166" fontId="2" fillId="14" borderId="2" xfId="0" applyNumberFormat="1" applyFont="1" applyFill="1" applyBorder="1" applyAlignment="1">
      <alignment horizontal="center" vertical="center"/>
    </xf>
    <xf numFmtId="166" fontId="2" fillId="14" borderId="3" xfId="0" applyNumberFormat="1" applyFont="1" applyFill="1" applyBorder="1" applyAlignment="1">
      <alignment horizontal="center" vertical="center"/>
    </xf>
    <xf numFmtId="170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4">
    <dxf>
      <font>
        <color auto="1"/>
      </font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ill>
        <patternFill>
          <bgColor theme="1" tint="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FF0000"/>
      </font>
      <fill>
        <patternFill>
          <bgColor theme="0" tint="-0.14996795556505021"/>
        </patternFill>
      </fill>
    </dxf>
    <dxf>
      <fill>
        <patternFill>
          <bgColor theme="1" tint="0.14996795556505021"/>
        </patternFill>
      </fill>
    </dxf>
  </dxfs>
  <tableStyles count="0" defaultTableStyle="TableStyleMedium2" defaultPivotStyle="PivotStyleLight16"/>
  <colors>
    <mruColors>
      <color rgb="FFCCFF99"/>
      <color rgb="FFFF3300"/>
      <color rgb="FFFABF8F"/>
      <color rgb="FFFF0000"/>
      <color rgb="FFCC0000"/>
      <color rgb="FFFF3399"/>
      <color rgb="FFF8A968"/>
      <color rgb="FFFFFF66"/>
      <color rgb="FFFF6600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Equity</a:t>
            </a:r>
            <a:r>
              <a:rPr lang="it-IT" baseline="0"/>
              <a:t> Curve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'Equity Curve'!$A$2:$A$35</c:f>
              <c:numCache>
                <c:formatCode>"£"#,##0.00;[Red]\-"£"#,##0.00</c:formatCode>
                <c:ptCount val="34"/>
                <c:pt idx="0">
                  <c:v>10150</c:v>
                </c:pt>
                <c:pt idx="1">
                  <c:v>10050</c:v>
                </c:pt>
                <c:pt idx="2">
                  <c:v>10300</c:v>
                </c:pt>
                <c:pt idx="3">
                  <c:v>10150</c:v>
                </c:pt>
                <c:pt idx="4">
                  <c:v>9950</c:v>
                </c:pt>
                <c:pt idx="5">
                  <c:v>9950</c:v>
                </c:pt>
                <c:pt idx="6">
                  <c:v>9950</c:v>
                </c:pt>
                <c:pt idx="7">
                  <c:v>9950</c:v>
                </c:pt>
                <c:pt idx="8">
                  <c:v>9950</c:v>
                </c:pt>
                <c:pt idx="9">
                  <c:v>9950</c:v>
                </c:pt>
                <c:pt idx="10">
                  <c:v>9950</c:v>
                </c:pt>
                <c:pt idx="11">
                  <c:v>9950</c:v>
                </c:pt>
                <c:pt idx="12">
                  <c:v>9950</c:v>
                </c:pt>
                <c:pt idx="13">
                  <c:v>9950</c:v>
                </c:pt>
                <c:pt idx="14">
                  <c:v>9950</c:v>
                </c:pt>
                <c:pt idx="15">
                  <c:v>9950</c:v>
                </c:pt>
                <c:pt idx="16">
                  <c:v>9950</c:v>
                </c:pt>
                <c:pt idx="17">
                  <c:v>9950</c:v>
                </c:pt>
                <c:pt idx="18">
                  <c:v>9950</c:v>
                </c:pt>
                <c:pt idx="19">
                  <c:v>9950</c:v>
                </c:pt>
                <c:pt idx="20">
                  <c:v>9950</c:v>
                </c:pt>
                <c:pt idx="21">
                  <c:v>9950</c:v>
                </c:pt>
                <c:pt idx="22">
                  <c:v>9950</c:v>
                </c:pt>
                <c:pt idx="23">
                  <c:v>9950</c:v>
                </c:pt>
                <c:pt idx="24">
                  <c:v>9950</c:v>
                </c:pt>
                <c:pt idx="25">
                  <c:v>9950</c:v>
                </c:pt>
                <c:pt idx="26">
                  <c:v>9950</c:v>
                </c:pt>
                <c:pt idx="27">
                  <c:v>9950</c:v>
                </c:pt>
                <c:pt idx="28">
                  <c:v>9950</c:v>
                </c:pt>
                <c:pt idx="29">
                  <c:v>9950</c:v>
                </c:pt>
                <c:pt idx="30">
                  <c:v>9950</c:v>
                </c:pt>
                <c:pt idx="31">
                  <c:v>9950</c:v>
                </c:pt>
                <c:pt idx="32">
                  <c:v>9950</c:v>
                </c:pt>
                <c:pt idx="33">
                  <c:v>9950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A-475C-AF90-E14A6FBFA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8683832"/>
        <c:axId val="798680304"/>
      </c:lineChart>
      <c:catAx>
        <c:axId val="798683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0304"/>
        <c:crosses val="autoZero"/>
        <c:auto val="1"/>
        <c:lblAlgn val="ctr"/>
        <c:lblOffset val="100"/>
        <c:noMultiLvlLbl val="0"/>
      </c:catAx>
      <c:valAx>
        <c:axId val="7986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;[Red]\-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3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Net P&amp;L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 w="9525" cap="flat" cmpd="sng" algn="ctr">
              <a:noFill/>
              <a:prstDash val="solid"/>
              <a:round/>
              <a:headEnd type="none" w="med" len="med"/>
              <a:tailEnd type="none" w="med" len="med"/>
            </a:ln>
            <a:effectLst/>
            <a:sp3d/>
            <a:extLst>
              <a:ext uri="{91240B29-F687-4F45-9708-019B960494DF}">
                <a14:hiddenLine xmlns:a14="http://schemas.microsoft.com/office/drawing/2010/main" w="9525" cap="flat" cmpd="sng" algn="ctr">
                  <a:solidFill>
                    <a:srgbClr val="00B050"/>
                  </a:solidFill>
                  <a:prstDash val="solid"/>
                  <a:round/>
                  <a:headEnd type="none" w="med" len="med"/>
                  <a:tailEnd type="none" w="med" len="med"/>
                </a14:hiddenLine>
              </a:ext>
            </a:extLst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PnL!$B$5:$B$19</c:f>
              <c:numCache>
                <c:formatCode>"£"#,##0.00;[Red]\-"£"#,##0.00</c:formatCode>
                <c:ptCount val="15"/>
                <c:pt idx="0">
                  <c:v>150</c:v>
                </c:pt>
                <c:pt idx="1">
                  <c:v>-100</c:v>
                </c:pt>
                <c:pt idx="2">
                  <c:v>250</c:v>
                </c:pt>
                <c:pt idx="3">
                  <c:v>-150</c:v>
                </c:pt>
                <c:pt idx="4">
                  <c:v>-200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 w="9525" cap="flat" cmpd="sng" algn="ctr">
                    <a:noFill/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sp3d/>
                  <a:extLst>
                    <a:ext uri="{91240B29-F687-4F45-9708-019B960494DF}">
                      <a14:hiddenLine xmlns:a14="http://schemas.microsoft.com/office/drawing/2010/main" w="9525" cap="flat" cmpd="sng" algn="ctr">
                        <a:solidFill>
                          <a:srgbClr val="00B05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14:hiddenLine>
                    </a:ext>
                  </a:extLst>
                </c14:spPr>
              </c14:invertSolidFillFmt>
            </c:ext>
            <c:ext xmlns:c16="http://schemas.microsoft.com/office/drawing/2014/chart" uri="{C3380CC4-5D6E-409C-BE32-E72D297353CC}">
              <c16:uniqueId val="{00000000-2DA8-4289-A7C7-877D0E3D3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798686184"/>
        <c:axId val="798681088"/>
        <c:axId val="0"/>
      </c:bar3DChart>
      <c:catAx>
        <c:axId val="798686184"/>
        <c:scaling>
          <c:orientation val="minMax"/>
        </c:scaling>
        <c:delete val="1"/>
        <c:axPos val="b"/>
        <c:majorTickMark val="none"/>
        <c:minorTickMark val="none"/>
        <c:tickLblPos val="nextTo"/>
        <c:crossAx val="798681088"/>
        <c:crosses val="autoZero"/>
        <c:auto val="1"/>
        <c:lblAlgn val="ctr"/>
        <c:lblOffset val="100"/>
        <c:noMultiLvlLbl val="0"/>
      </c:catAx>
      <c:valAx>
        <c:axId val="79868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£&quot;#,##0.00;[Red]\-&quot;£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Winners &amp; Losers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891-4E91-B0C5-9591A74F880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891-4E91-B0C5-9591A74F8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PnL!$L$5:$L$6</c:f>
              <c:strCache>
                <c:ptCount val="2"/>
                <c:pt idx="0">
                  <c:v>Winners</c:v>
                </c:pt>
                <c:pt idx="1">
                  <c:v>Losers</c:v>
                </c:pt>
              </c:strCache>
            </c:strRef>
          </c:cat>
          <c:val>
            <c:numRef>
              <c:f>PnL!$M$5:$M$6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91-4E91-B0C5-9591A74F8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798681872"/>
        <c:axId val="798686576"/>
        <c:axId val="0"/>
      </c:bar3DChart>
      <c:valAx>
        <c:axId val="7986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1872"/>
        <c:crosses val="autoZero"/>
        <c:crossBetween val="between"/>
      </c:valAx>
      <c:catAx>
        <c:axId val="798681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6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Average P&amp;L when Long or Short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dPt>
            <c:idx val="0"/>
            <c:invertIfNegative val="0"/>
            <c:bubble3D val="0"/>
            <c:explosion val="5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084-427D-8B79-553DFD506C2B}"/>
              </c:ext>
            </c:extLst>
          </c:dPt>
          <c:dPt>
            <c:idx val="1"/>
            <c:invertIfNegative val="0"/>
            <c:bubble3D val="0"/>
            <c:explosion val="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084-427D-8B79-553DFD506C2B}"/>
              </c:ext>
            </c:extLst>
          </c:dPt>
          <c:dPt>
            <c:idx val="2"/>
            <c:invertIfNegative val="0"/>
            <c:bubble3D val="0"/>
            <c:explosion val="3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084-427D-8B79-553DFD506C2B}"/>
              </c:ext>
            </c:extLst>
          </c:dPt>
          <c:dPt>
            <c:idx val="3"/>
            <c:invertIfNegative val="0"/>
            <c:bubble3D val="0"/>
            <c:explosion val="5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084-427D-8B79-553DFD506C2B}"/>
              </c:ext>
            </c:extLst>
          </c:dPt>
          <c:dLbls>
            <c:dLbl>
              <c:idx val="0"/>
              <c:layout>
                <c:manualLayout>
                  <c:x val="-9.2648293963254594E-2"/>
                  <c:y val="0.1514100320793234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84-427D-8B79-553DFD506C2B}"/>
                </c:ext>
              </c:extLst>
            </c:dLbl>
            <c:dLbl>
              <c:idx val="1"/>
              <c:layout>
                <c:manualLayout>
                  <c:x val="-0.12573272090988627"/>
                  <c:y val="-6.04622338874307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84-427D-8B79-553DFD506C2B}"/>
                </c:ext>
              </c:extLst>
            </c:dLbl>
            <c:dLbl>
              <c:idx val="2"/>
              <c:layout>
                <c:manualLayout>
                  <c:x val="0.1100343394575678"/>
                  <c:y val="-9.82516768737241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084-427D-8B79-553DFD506C2B}"/>
                </c:ext>
              </c:extLst>
            </c:dLbl>
            <c:dLbl>
              <c:idx val="3"/>
              <c:layout>
                <c:manualLayout>
                  <c:x val="0.10462510936132983"/>
                  <c:y val="0.101212817147856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84-427D-8B79-553DFD506C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PnL!$U$4:$U$7</c:f>
              <c:strCache>
                <c:ptCount val="4"/>
                <c:pt idx="0">
                  <c:v>Avg Long Win</c:v>
                </c:pt>
                <c:pt idx="1">
                  <c:v>Avg Short Win</c:v>
                </c:pt>
                <c:pt idx="2">
                  <c:v>Avg Long Loss</c:v>
                </c:pt>
                <c:pt idx="3">
                  <c:v>Avg Short Loss</c:v>
                </c:pt>
              </c:strCache>
            </c:strRef>
          </c:cat>
          <c:val>
            <c:numRef>
              <c:f>PnL!$V$4:$V$7</c:f>
              <c:numCache>
                <c:formatCode>_-[$£-809]* #,##0.00_-;\-[$£-809]* #,##0.00_-;_-[$£-809]* "-"??_-;_-@_-</c:formatCode>
                <c:ptCount val="4"/>
                <c:pt idx="0">
                  <c:v>150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84-427D-8B79-553DFD506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shape val="box"/>
        <c:axId val="798682264"/>
        <c:axId val="798682656"/>
        <c:axId val="0"/>
      </c:bar3DChart>
      <c:catAx>
        <c:axId val="798682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2656"/>
        <c:crosses val="autoZero"/>
        <c:auto val="1"/>
        <c:lblAlgn val="ctr"/>
        <c:lblOffset val="100"/>
        <c:noMultiLvlLbl val="0"/>
      </c:catAx>
      <c:valAx>
        <c:axId val="79868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682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Initial RRR vs Actual RRR</a:t>
            </a:r>
            <a:endParaRPr lang="it-IT"/>
          </a:p>
          <a:p>
            <a:pPr>
              <a:defRPr/>
            </a:pPr>
            <a:r>
              <a:rPr lang="en-GB"/>
              <a:t>(Winning Positions)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A10-4842-9935-7A985916D7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A10-4842-9935-7A985916D792}"/>
              </c:ext>
            </c:extLst>
          </c:dPt>
          <c:dLbls>
            <c:dLbl>
              <c:idx val="0"/>
              <c:layout>
                <c:manualLayout>
                  <c:x val="-0.23829979585885097"/>
                  <c:y val="-0.1142996301474036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10-4842-9935-7A985916D792}"/>
                </c:ext>
              </c:extLst>
            </c:dLbl>
            <c:dLbl>
              <c:idx val="1"/>
              <c:layout>
                <c:manualLayout>
                  <c:x val="0.17025309967567184"/>
                  <c:y val="5.88642072915145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10-4842-9935-7A985916D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RRR!$E$4:$F$4</c:f>
              <c:strCache>
                <c:ptCount val="2"/>
                <c:pt idx="0">
                  <c:v>On Entry</c:v>
                </c:pt>
                <c:pt idx="1">
                  <c:v>On Exit</c:v>
                </c:pt>
              </c:strCache>
            </c:strRef>
          </c:cat>
          <c:val>
            <c:numRef>
              <c:f>RRR!$E$5:$F$5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10-4842-9935-7A985916D79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Number of Trades Per Asset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'Asset Based'!$D$6:$D$14</c:f>
              <c:strCache>
                <c:ptCount val="2"/>
                <c:pt idx="0">
                  <c:v>EURUSD</c:v>
                </c:pt>
                <c:pt idx="1">
                  <c:v>0</c:v>
                </c:pt>
              </c:strCache>
            </c:strRef>
          </c:cat>
          <c:val>
            <c:numRef>
              <c:f>'Asset Based'!$J$6:$J$14</c:f>
              <c:numCache>
                <c:formatCode>General</c:formatCode>
                <c:ptCount val="9"/>
                <c:pt idx="0">
                  <c:v>1</c:v>
                </c:pt>
                <c:pt idx="1">
                  <c:v>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2-461F-8D84-D138DAD76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06275216"/>
        <c:axId val="306273648"/>
        <c:axId val="0"/>
      </c:bar3DChart>
      <c:catAx>
        <c:axId val="30627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3648"/>
        <c:crosses val="autoZero"/>
        <c:auto val="1"/>
        <c:lblAlgn val="ctr"/>
        <c:lblOffset val="100"/>
        <c:noMultiLvlLbl val="0"/>
      </c:catAx>
      <c:valAx>
        <c:axId val="3062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Winners &amp; Losers Per Asset Traded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solidFill>
            <a:schemeClr val="bg1">
              <a:lumMod val="85000"/>
            </a:schemeClr>
          </a:solidFill>
        </a:ln>
        <a:effectLst/>
        <a:sp3d>
          <a:contourClr>
            <a:schemeClr val="bg1">
              <a:lumMod val="85000"/>
            </a:schemeClr>
          </a:contourClr>
        </a:sp3d>
      </c:spPr>
    </c:sideWall>
    <c:backWall>
      <c:thickness val="0"/>
      <c:spPr>
        <a:noFill/>
        <a:ln>
          <a:solidFill>
            <a:schemeClr val="bg1">
              <a:lumMod val="85000"/>
            </a:schemeClr>
          </a:solidFill>
        </a:ln>
        <a:effectLst/>
        <a:sp3d>
          <a:contourClr>
            <a:schemeClr val="bg1">
              <a:lumMod val="85000"/>
            </a:schemeClr>
          </a:contourClr>
        </a:sp3d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dLbls>
            <c:numFmt formatCode="[$£-8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'Asset Based'!$D$6:$D$14</c:f>
              <c:strCache>
                <c:ptCount val="2"/>
                <c:pt idx="0">
                  <c:v>EURUSD</c:v>
                </c:pt>
                <c:pt idx="1">
                  <c:v>0</c:v>
                </c:pt>
              </c:strCache>
            </c:strRef>
          </c:cat>
          <c:val>
            <c:numRef>
              <c:f>'Asset Based'!$E$6:$E$14</c:f>
              <c:numCache>
                <c:formatCode>_-[$£-809]* #,##0.00_-;\-[$£-809]* #,##0.00_-;_-[$£-809]* "-"??_-;_-@_-</c:formatCode>
                <c:ptCount val="9"/>
                <c:pt idx="0">
                  <c:v>150</c:v>
                </c:pt>
                <c:pt idx="1">
                  <c:v>250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4-4570-B4E5-EBA665F0B70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'Asset Based'!$D$6:$D$14</c:f>
              <c:strCache>
                <c:ptCount val="2"/>
                <c:pt idx="0">
                  <c:v>EURUSD</c:v>
                </c:pt>
                <c:pt idx="1">
                  <c:v>0</c:v>
                </c:pt>
              </c:strCache>
            </c:strRef>
          </c:cat>
          <c:val>
            <c:numRef>
              <c:f>'Asset Based'!$G$6:$G$14</c:f>
              <c:numCache>
                <c:formatCode>_-[$£-809]* #,##0.00_-;\-[$£-809]* #,##0.00_-;_-[$£-809]* "-"??_-;_-@_-</c:formatCode>
                <c:ptCount val="9"/>
                <c:pt idx="0">
                  <c:v>0</c:v>
                </c:pt>
                <c:pt idx="1">
                  <c:v>-450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9-4224-8548-8452C9E900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306272472"/>
        <c:axId val="306275608"/>
        <c:axId val="0"/>
      </c:bar3DChart>
      <c:catAx>
        <c:axId val="30627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5608"/>
        <c:crosses val="autoZero"/>
        <c:auto val="1"/>
        <c:lblAlgn val="ctr"/>
        <c:lblOffset val="100"/>
        <c:noMultiLvlLbl val="0"/>
      </c:catAx>
      <c:valAx>
        <c:axId val="30627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2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P/L Per Asset Traded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'Asset Based'!$D$6:$D$14</c:f>
              <c:strCache>
                <c:ptCount val="2"/>
                <c:pt idx="0">
                  <c:v>EURUSD</c:v>
                </c:pt>
                <c:pt idx="1">
                  <c:v>0</c:v>
                </c:pt>
              </c:strCache>
            </c:strRef>
          </c:cat>
          <c:val>
            <c:numRef>
              <c:f>'Asset Based'!$I$6:$I$14</c:f>
              <c:numCache>
                <c:formatCode>_-[$£-809]* #,##0.00_-;\-[$£-809]* #,##0.00_-;_-[$£-809]* "-"??_-;_-@_-</c:formatCode>
                <c:ptCount val="9"/>
                <c:pt idx="0">
                  <c:v>150</c:v>
                </c:pt>
                <c:pt idx="1">
                  <c:v>-200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  <a:sp3d/>
                </c14:spPr>
              </c14:invertSolidFillFmt>
            </c:ext>
            <c:ext xmlns:c16="http://schemas.microsoft.com/office/drawing/2014/chart" uri="{C3380CC4-5D6E-409C-BE32-E72D297353CC}">
              <c16:uniqueId val="{00000000-449D-4A0A-B180-1F8A8F9A1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06273256"/>
        <c:axId val="306276000"/>
        <c:axId val="0"/>
      </c:bar3DChart>
      <c:catAx>
        <c:axId val="30627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6000"/>
        <c:crosses val="autoZero"/>
        <c:auto val="1"/>
        <c:lblAlgn val="ctr"/>
        <c:lblOffset val="100"/>
        <c:noMultiLvlLbl val="0"/>
      </c:catAx>
      <c:valAx>
        <c:axId val="30627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Exit Types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Stats'!$B$5:$B$8</c:f>
              <c:strCache>
                <c:ptCount val="4"/>
                <c:pt idx="0">
                  <c:v>S1</c:v>
                </c:pt>
                <c:pt idx="1">
                  <c:v>S2+</c:v>
                </c:pt>
                <c:pt idx="2">
                  <c:v>T</c:v>
                </c:pt>
                <c:pt idx="3">
                  <c:v>ME</c:v>
                </c:pt>
              </c:strCache>
            </c:strRef>
          </c:cat>
          <c:val>
            <c:numRef>
              <c:f>'Other Stats'!$C$5:$C$8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C-4C92-86C7-D969BE495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06269336"/>
        <c:axId val="306271688"/>
        <c:axId val="0"/>
      </c:bar3DChart>
      <c:catAx>
        <c:axId val="306269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1688"/>
        <c:crosses val="autoZero"/>
        <c:auto val="1"/>
        <c:lblAlgn val="ctr"/>
        <c:lblOffset val="100"/>
        <c:noMultiLvlLbl val="0"/>
      </c:catAx>
      <c:valAx>
        <c:axId val="306271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69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Days Traded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Stats'!$K$5:$K$9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'Other Stats'!$L$5:$L$9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C-4BD4-A9F7-AB0DCE517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06272080"/>
        <c:axId val="306276392"/>
        <c:axId val="0"/>
      </c:bar3DChart>
      <c:catAx>
        <c:axId val="30627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6392"/>
        <c:crosses val="autoZero"/>
        <c:auto val="1"/>
        <c:lblAlgn val="ctr"/>
        <c:lblOffset val="100"/>
        <c:noMultiLvlLbl val="0"/>
      </c:catAx>
      <c:valAx>
        <c:axId val="306276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0" i="0" baseline="0">
                <a:effectLst/>
              </a:rPr>
              <a:t>Times Traded</a:t>
            </a:r>
            <a:endParaRPr lang="it-IT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'Other Stats'!$U$5:$U$15</c:f>
              <c:strCache>
                <c:ptCount val="11"/>
                <c:pt idx="0">
                  <c:v>6:00-8:00</c:v>
                </c:pt>
                <c:pt idx="1">
                  <c:v>8:00-10:00</c:v>
                </c:pt>
                <c:pt idx="2">
                  <c:v>10:00-12:00</c:v>
                </c:pt>
                <c:pt idx="3">
                  <c:v>12:00-14:00</c:v>
                </c:pt>
                <c:pt idx="4">
                  <c:v>14:00-16:00</c:v>
                </c:pt>
                <c:pt idx="5">
                  <c:v>16:00-18:00</c:v>
                </c:pt>
                <c:pt idx="6">
                  <c:v>18:00-20:00</c:v>
                </c:pt>
                <c:pt idx="7">
                  <c:v>22:00-00:00</c:v>
                </c:pt>
                <c:pt idx="8">
                  <c:v>00:00-02:00</c:v>
                </c:pt>
                <c:pt idx="9">
                  <c:v>02:00-04:00</c:v>
                </c:pt>
                <c:pt idx="10">
                  <c:v>04:00-06:00</c:v>
                </c:pt>
              </c:strCache>
            </c:strRef>
          </c:cat>
          <c:val>
            <c:numRef>
              <c:f>'Other Stats'!$V$5:$V$15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D-45B5-B349-CA987167A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306270120"/>
        <c:axId val="306270512"/>
        <c:axId val="0"/>
      </c:bar3DChart>
      <c:catAx>
        <c:axId val="306270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0512"/>
        <c:crosses val="autoZero"/>
        <c:auto val="1"/>
        <c:lblAlgn val="ctr"/>
        <c:lblOffset val="100"/>
        <c:noMultiLvlLbl val="0"/>
      </c:catAx>
      <c:valAx>
        <c:axId val="3062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27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Trade Duration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5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013-4104-9EF2-CCA6EDB2760A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013-4104-9EF2-CCA6EDB2760A}"/>
              </c:ext>
            </c:extLst>
          </c:dPt>
          <c:dPt>
            <c:idx val="2"/>
            <c:bubble3D val="0"/>
            <c:explosion val="6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013-4104-9EF2-CCA6EDB2760A}"/>
              </c:ext>
            </c:extLst>
          </c:dPt>
          <c:dPt>
            <c:idx val="3"/>
            <c:bubble3D val="0"/>
            <c:explosion val="5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013-4104-9EF2-CCA6EDB2760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'Other Stats'!$AE$6:$AE$9</c:f>
              <c:strCache>
                <c:ptCount val="4"/>
                <c:pt idx="0">
                  <c:v>Long Win</c:v>
                </c:pt>
                <c:pt idx="1">
                  <c:v>Short Win</c:v>
                </c:pt>
                <c:pt idx="2">
                  <c:v>Long Loss</c:v>
                </c:pt>
                <c:pt idx="3">
                  <c:v>Short Loss</c:v>
                </c:pt>
              </c:strCache>
            </c:strRef>
          </c:cat>
          <c:val>
            <c:numRef>
              <c:f>'Other Stats'!$AF$6:$AF$9</c:f>
              <c:numCache>
                <c:formatCode>0.00</c:formatCode>
                <c:ptCount val="4"/>
                <c:pt idx="0">
                  <c:v>8.53333333338378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13-4104-9EF2-CCA6EDB27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219075</xdr:colOff>
      <xdr:row>2</xdr:row>
      <xdr:rowOff>148121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38100"/>
          <a:ext cx="2295525" cy="595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809625</xdr:colOff>
      <xdr:row>1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988344" cy="500062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2</xdr:row>
      <xdr:rowOff>109536</xdr:rowOff>
    </xdr:from>
    <xdr:to>
      <xdr:col>16</xdr:col>
      <xdr:colOff>504825</xdr:colOff>
      <xdr:row>33</xdr:row>
      <xdr:rowOff>190499</xdr:rowOff>
    </xdr:to>
    <xdr:graphicFrame macro="">
      <xdr:nvGraphicFramePr>
        <xdr:cNvPr id="2" name="CurveEquit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90487</xdr:colOff>
      <xdr:row>7</xdr:row>
      <xdr:rowOff>61912</xdr:rowOff>
    </xdr:from>
    <xdr:to>
      <xdr:col>9</xdr:col>
      <xdr:colOff>542925</xdr:colOff>
      <xdr:row>26</xdr:row>
      <xdr:rowOff>171450</xdr:rowOff>
    </xdr:to>
    <xdr:graphicFrame macro="">
      <xdr:nvGraphicFramePr>
        <xdr:cNvPr id="11" name="NetPL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123825</xdr:colOff>
      <xdr:row>7</xdr:row>
      <xdr:rowOff>71436</xdr:rowOff>
    </xdr:from>
    <xdr:to>
      <xdr:col>18</xdr:col>
      <xdr:colOff>523875</xdr:colOff>
      <xdr:row>27</xdr:row>
      <xdr:rowOff>19049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100011</xdr:colOff>
      <xdr:row>7</xdr:row>
      <xdr:rowOff>71436</xdr:rowOff>
    </xdr:from>
    <xdr:to>
      <xdr:col>28</xdr:col>
      <xdr:colOff>47625</xdr:colOff>
      <xdr:row>27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10</xdr:row>
      <xdr:rowOff>71436</xdr:rowOff>
    </xdr:from>
    <xdr:to>
      <xdr:col>12</xdr:col>
      <xdr:colOff>561975</xdr:colOff>
      <xdr:row>30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226220</xdr:colOff>
      <xdr:row>26</xdr:row>
      <xdr:rowOff>50005</xdr:rowOff>
    </xdr:from>
    <xdr:to>
      <xdr:col>22</xdr:col>
      <xdr:colOff>250031</xdr:colOff>
      <xdr:row>46</xdr:row>
      <xdr:rowOff>83343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235744</xdr:colOff>
      <xdr:row>2</xdr:row>
      <xdr:rowOff>48100</xdr:rowOff>
    </xdr:from>
    <xdr:to>
      <xdr:col>22</xdr:col>
      <xdr:colOff>226218</xdr:colOff>
      <xdr:row>25</xdr:row>
      <xdr:rowOff>119062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319087</xdr:colOff>
      <xdr:row>2</xdr:row>
      <xdr:rowOff>42862</xdr:rowOff>
    </xdr:from>
    <xdr:to>
      <xdr:col>34</xdr:col>
      <xdr:colOff>309561</xdr:colOff>
      <xdr:row>25</xdr:row>
      <xdr:rowOff>107156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69053</xdr:colOff>
      <xdr:row>16</xdr:row>
      <xdr:rowOff>73819</xdr:rowOff>
    </xdr:from>
    <xdr:to>
      <xdr:col>7</xdr:col>
      <xdr:colOff>535779</xdr:colOff>
      <xdr:row>29</xdr:row>
      <xdr:rowOff>488156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76200</xdr:colOff>
      <xdr:row>16</xdr:row>
      <xdr:rowOff>61913</xdr:rowOff>
    </xdr:from>
    <xdr:to>
      <xdr:col>18</xdr:col>
      <xdr:colOff>7142</xdr:colOff>
      <xdr:row>29</xdr:row>
      <xdr:rowOff>500062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71439</xdr:colOff>
      <xdr:row>16</xdr:row>
      <xdr:rowOff>66674</xdr:rowOff>
    </xdr:from>
    <xdr:to>
      <xdr:col>27</xdr:col>
      <xdr:colOff>559593</xdr:colOff>
      <xdr:row>29</xdr:row>
      <xdr:rowOff>523874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88106</xdr:colOff>
      <xdr:row>16</xdr:row>
      <xdr:rowOff>66675</xdr:rowOff>
    </xdr:from>
    <xdr:to>
      <xdr:col>37</xdr:col>
      <xdr:colOff>321468</xdr:colOff>
      <xdr:row>29</xdr:row>
      <xdr:rowOff>523874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Z23"/>
  <sheetViews>
    <sheetView workbookViewId="0">
      <pane ySplit="3" topLeftCell="A4" activePane="bottomLeft" state="frozen"/>
      <selection pane="bottomLeft" activeCell="Y23" sqref="Y23"/>
    </sheetView>
  </sheetViews>
  <sheetFormatPr defaultColWidth="9.140625" defaultRowHeight="15"/>
  <cols>
    <col min="1" max="1" width="14.140625" style="30" bestFit="1" customWidth="1"/>
    <col min="2" max="2" width="17.5703125" style="30" bestFit="1" customWidth="1"/>
    <col min="3" max="3" width="9.140625" style="30" customWidth="1"/>
    <col min="4" max="4" width="10.28515625" style="30" customWidth="1"/>
    <col min="5" max="5" width="15" style="30" customWidth="1"/>
    <col min="6" max="6" width="20.7109375" style="30" customWidth="1"/>
    <col min="7" max="16" width="9.140625" style="30"/>
    <col min="17" max="17" width="16.42578125" style="30" bestFit="1" customWidth="1"/>
    <col min="18" max="24" width="9.140625" style="30"/>
    <col min="25" max="25" width="10.7109375" style="30" bestFit="1" customWidth="1"/>
    <col min="26" max="26" width="27.85546875" style="30" bestFit="1" customWidth="1"/>
    <col min="27" max="16384" width="9.140625" style="30"/>
  </cols>
  <sheetData>
    <row r="1" spans="1:7" ht="23.25">
      <c r="D1" s="31" t="s">
        <v>0</v>
      </c>
    </row>
    <row r="4" spans="1:7" ht="15.75">
      <c r="A4" s="35" t="s">
        <v>1</v>
      </c>
      <c r="B4" s="56" t="s">
        <v>2</v>
      </c>
      <c r="D4" s="192" t="s">
        <v>3</v>
      </c>
      <c r="E4" s="193"/>
      <c r="F4" s="194"/>
      <c r="G4" s="32"/>
    </row>
    <row r="5" spans="1:7">
      <c r="A5" s="35" t="s">
        <v>4</v>
      </c>
      <c r="B5" s="34"/>
      <c r="D5" s="17" t="s">
        <v>5</v>
      </c>
      <c r="E5" s="190" t="s">
        <v>6</v>
      </c>
      <c r="F5" s="191"/>
      <c r="G5" s="33"/>
    </row>
    <row r="6" spans="1:7">
      <c r="A6" s="35" t="s">
        <v>7</v>
      </c>
      <c r="B6" s="34"/>
      <c r="D6" s="17" t="s">
        <v>8</v>
      </c>
      <c r="E6" s="190" t="s">
        <v>9</v>
      </c>
      <c r="F6" s="191"/>
      <c r="G6" s="33"/>
    </row>
    <row r="7" spans="1:7">
      <c r="A7" s="35" t="s">
        <v>10</v>
      </c>
      <c r="B7" s="81">
        <v>10000</v>
      </c>
      <c r="D7" s="17" t="s">
        <v>11</v>
      </c>
      <c r="E7" s="190" t="s">
        <v>12</v>
      </c>
      <c r="F7" s="191"/>
      <c r="G7" s="33"/>
    </row>
    <row r="8" spans="1:7">
      <c r="D8" s="17" t="s">
        <v>13</v>
      </c>
      <c r="E8" s="190" t="s">
        <v>14</v>
      </c>
      <c r="F8" s="191"/>
      <c r="G8" s="33"/>
    </row>
    <row r="10" spans="1:7">
      <c r="D10" s="188" t="s">
        <v>15</v>
      </c>
      <c r="E10" s="188"/>
      <c r="F10" s="188"/>
    </row>
    <row r="11" spans="1:7">
      <c r="D11" s="55">
        <v>1</v>
      </c>
      <c r="E11" s="189" t="s">
        <v>16</v>
      </c>
      <c r="F11" s="189"/>
    </row>
    <row r="12" spans="1:7">
      <c r="D12" s="55">
        <v>2</v>
      </c>
      <c r="E12" s="189" t="s">
        <v>17</v>
      </c>
      <c r="F12" s="189"/>
    </row>
    <row r="13" spans="1:7">
      <c r="D13" s="55">
        <v>3</v>
      </c>
      <c r="E13" s="189" t="s">
        <v>18</v>
      </c>
      <c r="F13" s="189"/>
    </row>
    <row r="14" spans="1:7">
      <c r="D14" s="55">
        <v>4</v>
      </c>
      <c r="E14" s="189" t="s">
        <v>19</v>
      </c>
      <c r="F14" s="189"/>
    </row>
    <row r="15" spans="1:7">
      <c r="D15" s="55">
        <v>5</v>
      </c>
      <c r="E15" s="189" t="s">
        <v>20</v>
      </c>
      <c r="F15" s="189"/>
    </row>
    <row r="16" spans="1:7">
      <c r="D16" s="57"/>
    </row>
    <row r="17" spans="1:26">
      <c r="D17" s="58" t="s">
        <v>21</v>
      </c>
      <c r="E17" s="39" t="s">
        <v>22</v>
      </c>
    </row>
    <row r="18" spans="1:26">
      <c r="D18" s="58" t="s">
        <v>23</v>
      </c>
      <c r="E18" s="39" t="s">
        <v>24</v>
      </c>
    </row>
    <row r="20" spans="1:26" ht="23.25">
      <c r="A20" s="83" t="s">
        <v>25</v>
      </c>
    </row>
    <row r="21" spans="1:26" ht="45">
      <c r="A21" s="2" t="s">
        <v>26</v>
      </c>
      <c r="B21" s="1" t="s">
        <v>27</v>
      </c>
      <c r="C21" s="10" t="s">
        <v>28</v>
      </c>
      <c r="D21" s="2" t="s">
        <v>29</v>
      </c>
      <c r="E21" s="3" t="s">
        <v>30</v>
      </c>
      <c r="F21" s="2" t="s">
        <v>31</v>
      </c>
      <c r="G21" s="2" t="s">
        <v>32</v>
      </c>
      <c r="H21" s="2" t="s">
        <v>33</v>
      </c>
      <c r="I21" s="2" t="s">
        <v>34</v>
      </c>
      <c r="J21" s="2" t="s">
        <v>35</v>
      </c>
      <c r="K21" s="6" t="s">
        <v>36</v>
      </c>
      <c r="L21" s="4" t="s">
        <v>37</v>
      </c>
      <c r="M21" s="7" t="s">
        <v>38</v>
      </c>
      <c r="N21" s="7" t="s">
        <v>39</v>
      </c>
      <c r="O21" s="5"/>
      <c r="P21" s="14" t="s">
        <v>40</v>
      </c>
      <c r="Q21" s="15" t="s">
        <v>41</v>
      </c>
      <c r="R21" s="14" t="s">
        <v>42</v>
      </c>
      <c r="S21" s="16" t="s">
        <v>43</v>
      </c>
      <c r="T21" s="15" t="s">
        <v>44</v>
      </c>
      <c r="U21" s="19" t="s">
        <v>45</v>
      </c>
      <c r="V21" s="9" t="s">
        <v>46</v>
      </c>
      <c r="W21" s="8" t="s">
        <v>47</v>
      </c>
      <c r="X21" s="9" t="s">
        <v>48</v>
      </c>
      <c r="Y21" s="8" t="s">
        <v>49</v>
      </c>
      <c r="Z21" s="12" t="s">
        <v>50</v>
      </c>
    </row>
    <row r="22" spans="1:26">
      <c r="A22" s="60" t="s">
        <v>51</v>
      </c>
      <c r="B22" s="61">
        <v>42439.402777777781</v>
      </c>
      <c r="C22" s="62">
        <v>3</v>
      </c>
      <c r="D22" s="60" t="s">
        <v>21</v>
      </c>
      <c r="E22" s="63">
        <v>50</v>
      </c>
      <c r="F22" s="64">
        <v>1.2423999999999999</v>
      </c>
      <c r="G22" s="64">
        <v>1.2387900000000001</v>
      </c>
      <c r="H22" s="64"/>
      <c r="I22" s="64"/>
      <c r="J22" s="64">
        <v>1.2465999999999999</v>
      </c>
      <c r="K22" s="78">
        <v>-145.38</v>
      </c>
      <c r="L22" s="69">
        <v>169.14</v>
      </c>
      <c r="M22" s="71">
        <f>ABS(L22/K22)</f>
        <v>1.1634337598018984</v>
      </c>
      <c r="N22" s="71">
        <f>IF(W22&gt;0,W22/ABS(K22),L22/ABS(W22))</f>
        <v>1.144311459623057</v>
      </c>
      <c r="O22" s="11">
        <f>IF(F22&lt;=3,10000,IF(AND(3&lt;F22,F22&lt;=1500),100,1))</f>
        <v>10000</v>
      </c>
      <c r="P22" s="72">
        <v>1.2466600000000001</v>
      </c>
      <c r="Q22" s="73">
        <v>42439.524305555555</v>
      </c>
      <c r="R22" s="72" t="s">
        <v>13</v>
      </c>
      <c r="S22" s="21"/>
      <c r="T22" s="21"/>
      <c r="U22" s="22" t="b">
        <f>IF(T22="Y",W22-L22,IF(S22="Y",W22-K22))</f>
        <v>0</v>
      </c>
      <c r="V22" s="74">
        <f>(Q22-B22)*24</f>
        <v>2.9166666665696539</v>
      </c>
      <c r="W22" s="79">
        <v>166.36</v>
      </c>
      <c r="X22" s="13">
        <f>IF(D22="B",((P22-F22)*O22),((F22-P22)*O22))</f>
        <v>42.600000000001529</v>
      </c>
      <c r="Y22" s="76">
        <f>B7+W22</f>
        <v>10166.36</v>
      </c>
      <c r="Z22" s="77" t="str">
        <f>IF(A22&lt;&gt;"",A22&amp;" - "&amp;TEXT(B22, "gg/mm/aaaa hh:mm"),"")</f>
        <v>GBPUSD - /03/Thursday 09:40</v>
      </c>
    </row>
    <row r="23" spans="1:26" ht="18.75">
      <c r="A23" s="82" t="s">
        <v>52</v>
      </c>
    </row>
  </sheetData>
  <mergeCells count="11">
    <mergeCell ref="E8:F8"/>
    <mergeCell ref="D4:F4"/>
    <mergeCell ref="E5:F5"/>
    <mergeCell ref="E6:F6"/>
    <mergeCell ref="E7:F7"/>
    <mergeCell ref="D10:F10"/>
    <mergeCell ref="E15:F15"/>
    <mergeCell ref="E11:F11"/>
    <mergeCell ref="E12:F12"/>
    <mergeCell ref="E13:F13"/>
    <mergeCell ref="E14:F14"/>
  </mergeCells>
  <conditionalFormatting sqref="V22">
    <cfRule type="cellIs" dxfId="13" priority="5" operator="lessThanOrEqual">
      <formula>0</formula>
    </cfRule>
  </conditionalFormatting>
  <conditionalFormatting sqref="X22">
    <cfRule type="cellIs" dxfId="12" priority="3" operator="lessThan">
      <formula>0</formula>
    </cfRule>
    <cfRule type="cellIs" dxfId="11" priority="4" operator="equal">
      <formula>0</formula>
    </cfRule>
  </conditionalFormatting>
  <conditionalFormatting sqref="X22">
    <cfRule type="cellIs" dxfId="10" priority="2" operator="greaterThanOrEqual">
      <formula>3500</formula>
    </cfRule>
  </conditionalFormatting>
  <conditionalFormatting sqref="S22:U22">
    <cfRule type="expression" dxfId="9" priority="1">
      <formula>($R22:$R59)&lt;&gt;"ME"</formula>
    </cfRule>
  </conditionalFormatting>
  <dataValidations count="3">
    <dataValidation type="list" showInputMessage="1" showErrorMessage="1" sqref="C22" xr:uid="{00000000-0002-0000-0000-000000000000}">
      <formula1>$D$11:$D$15</formula1>
    </dataValidation>
    <dataValidation type="list" showInputMessage="1" showErrorMessage="1" sqref="D22" xr:uid="{00000000-0002-0000-0000-000001000000}">
      <formula1>$D$17:$D$18</formula1>
    </dataValidation>
    <dataValidation type="list" showInputMessage="1" showErrorMessage="1" sqref="R22" xr:uid="{00000000-0002-0000-0000-000002000000}">
      <formula1>$D$5:$D$8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00B050"/>
  </sheetPr>
  <dimension ref="A1:AK62"/>
  <sheetViews>
    <sheetView tabSelected="1" zoomScale="80" zoomScaleNormal="80" workbookViewId="0">
      <pane xSplit="1" ySplit="3" topLeftCell="T4" activePane="bottomRight" state="frozen"/>
      <selection pane="bottomRight" activeCell="AC16" sqref="AC16"/>
      <selection pane="bottomLeft" activeCell="A9" sqref="A9"/>
      <selection pane="topRight" activeCell="B1" sqref="B1"/>
    </sheetView>
  </sheetViews>
  <sheetFormatPr defaultColWidth="8.85546875" defaultRowHeight="15"/>
  <cols>
    <col min="1" max="1" width="17.7109375" style="23" customWidth="1"/>
    <col min="2" max="2" width="20.140625" style="24" customWidth="1"/>
    <col min="3" max="3" width="7.5703125" style="25" customWidth="1"/>
    <col min="4" max="4" width="5.140625" style="26" customWidth="1"/>
    <col min="5" max="5" width="8.140625" style="27" bestFit="1" customWidth="1"/>
    <col min="6" max="7" width="12.140625" style="23" bestFit="1" customWidth="1"/>
    <col min="8" max="10" width="10" style="23" bestFit="1" customWidth="1"/>
    <col min="11" max="11" width="10.85546875" style="23" customWidth="1"/>
    <col min="12" max="12" width="10" style="23" bestFit="1" customWidth="1"/>
    <col min="13" max="13" width="10.85546875" style="23" customWidth="1"/>
    <col min="14" max="14" width="10" style="23" bestFit="1" customWidth="1"/>
    <col min="15" max="15" width="11.42578125" style="23" customWidth="1"/>
    <col min="16" max="16" width="10" style="23" bestFit="1" customWidth="1"/>
    <col min="17" max="17" width="11.28515625" style="38" customWidth="1"/>
    <col min="18" max="18" width="11.85546875" style="27" customWidth="1"/>
    <col min="19" max="19" width="11" style="27" customWidth="1"/>
    <col min="20" max="20" width="10.28515625" style="27" customWidth="1"/>
    <col min="21" max="21" width="12.140625" style="23" bestFit="1" customWidth="1"/>
    <col min="22" max="22" width="17.85546875" style="26" bestFit="1" customWidth="1"/>
    <col min="23" max="23" width="5" style="26" bestFit="1" customWidth="1"/>
    <col min="24" max="24" width="9.140625" style="28" bestFit="1" customWidth="1"/>
    <col min="25" max="25" width="9.140625" style="23" bestFit="1" customWidth="1"/>
    <col min="26" max="26" width="19.140625" style="27" bestFit="1" customWidth="1"/>
    <col min="27" max="27" width="9.85546875" style="27" bestFit="1" customWidth="1"/>
    <col min="28" max="28" width="11" style="23" bestFit="1" customWidth="1"/>
    <col min="29" max="29" width="10.140625" style="28" bestFit="1" customWidth="1"/>
    <col min="30" max="30" width="12.7109375" style="28" bestFit="1" customWidth="1"/>
    <col min="31" max="31" width="30.5703125" style="23" bestFit="1" customWidth="1"/>
    <col min="32" max="32" width="9.28515625" style="25" customWidth="1"/>
    <col min="33" max="33" width="6.7109375" style="25" customWidth="1"/>
    <col min="34" max="34" width="7.85546875" style="25" customWidth="1"/>
    <col min="35" max="35" width="6.42578125" style="25" customWidth="1"/>
    <col min="36" max="36" width="6.5703125" style="25" customWidth="1"/>
    <col min="37" max="37" width="7.85546875" style="133" customWidth="1"/>
    <col min="38" max="16384" width="8.85546875" style="23"/>
  </cols>
  <sheetData>
    <row r="1" spans="1:37" ht="39" customHeight="1">
      <c r="A1" s="198"/>
      <c r="B1" s="198"/>
      <c r="C1" s="113"/>
      <c r="D1" s="113" t="s">
        <v>53</v>
      </c>
      <c r="L1" s="114" t="s">
        <v>54</v>
      </c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73"/>
      <c r="AD1" s="174"/>
      <c r="AE1" s="114"/>
      <c r="AF1" s="132"/>
      <c r="AG1" s="132"/>
      <c r="AH1" s="132"/>
      <c r="AI1" s="132"/>
      <c r="AJ1" s="132"/>
      <c r="AK1" s="132"/>
    </row>
    <row r="2" spans="1:37" s="36" customFormat="1" ht="18.75">
      <c r="A2" s="199" t="s">
        <v>55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1"/>
      <c r="T2" s="41"/>
      <c r="U2" s="202" t="s">
        <v>56</v>
      </c>
      <c r="V2" s="203"/>
      <c r="W2" s="203"/>
      <c r="X2" s="203"/>
      <c r="Y2" s="203"/>
      <c r="Z2" s="203"/>
      <c r="AA2" s="204" t="s">
        <v>57</v>
      </c>
      <c r="AB2" s="204"/>
      <c r="AC2" s="204"/>
      <c r="AD2" s="204"/>
      <c r="AE2" s="18" t="s">
        <v>58</v>
      </c>
      <c r="AF2" s="195" t="s">
        <v>59</v>
      </c>
      <c r="AG2" s="196"/>
      <c r="AH2" s="196"/>
      <c r="AI2" s="196"/>
      <c r="AJ2" s="196"/>
      <c r="AK2" s="197"/>
    </row>
    <row r="3" spans="1:37" s="129" customFormat="1" ht="30">
      <c r="A3" s="116" t="s">
        <v>26</v>
      </c>
      <c r="B3" s="117" t="s">
        <v>27</v>
      </c>
      <c r="C3" s="176" t="s">
        <v>28</v>
      </c>
      <c r="D3" s="116" t="s">
        <v>29</v>
      </c>
      <c r="E3" s="118" t="s">
        <v>60</v>
      </c>
      <c r="F3" s="116" t="s">
        <v>31</v>
      </c>
      <c r="G3" s="116" t="s">
        <v>32</v>
      </c>
      <c r="H3" s="140" t="s">
        <v>61</v>
      </c>
      <c r="I3" s="119" t="s">
        <v>33</v>
      </c>
      <c r="J3" s="140" t="s">
        <v>61</v>
      </c>
      <c r="K3" s="119" t="s">
        <v>34</v>
      </c>
      <c r="L3" s="140" t="s">
        <v>61</v>
      </c>
      <c r="M3" s="119" t="s">
        <v>34</v>
      </c>
      <c r="N3" s="140" t="s">
        <v>61</v>
      </c>
      <c r="O3" s="116" t="s">
        <v>35</v>
      </c>
      <c r="P3" s="140" t="s">
        <v>61</v>
      </c>
      <c r="Q3" s="127" t="s">
        <v>36</v>
      </c>
      <c r="R3" s="118" t="s">
        <v>37</v>
      </c>
      <c r="S3" s="120" t="s">
        <v>38</v>
      </c>
      <c r="T3" s="120" t="s">
        <v>39</v>
      </c>
      <c r="U3" s="122" t="s">
        <v>40</v>
      </c>
      <c r="V3" s="123" t="s">
        <v>41</v>
      </c>
      <c r="W3" s="122" t="s">
        <v>42</v>
      </c>
      <c r="X3" s="124" t="s">
        <v>43</v>
      </c>
      <c r="Y3" s="123" t="s">
        <v>44</v>
      </c>
      <c r="Z3" s="125" t="s">
        <v>45</v>
      </c>
      <c r="AA3" s="126" t="s">
        <v>46</v>
      </c>
      <c r="AB3" s="127" t="s">
        <v>47</v>
      </c>
      <c r="AC3" s="126" t="s">
        <v>48</v>
      </c>
      <c r="AD3" s="127" t="s">
        <v>49</v>
      </c>
      <c r="AE3" s="128" t="s">
        <v>50</v>
      </c>
      <c r="AF3" s="134" t="s">
        <v>62</v>
      </c>
      <c r="AG3" s="134" t="s">
        <v>63</v>
      </c>
      <c r="AH3" s="134" t="s">
        <v>64</v>
      </c>
      <c r="AI3" s="134" t="s">
        <v>65</v>
      </c>
      <c r="AJ3" s="134" t="s">
        <v>66</v>
      </c>
      <c r="AK3" s="134" t="s">
        <v>67</v>
      </c>
    </row>
    <row r="4" spans="1:37">
      <c r="A4" s="60" t="s">
        <v>51</v>
      </c>
      <c r="B4" s="61">
        <v>43900.402777777781</v>
      </c>
      <c r="C4" s="63">
        <v>3</v>
      </c>
      <c r="D4" s="60" t="s">
        <v>21</v>
      </c>
      <c r="E4" s="69">
        <v>2.7</v>
      </c>
      <c r="F4" s="64">
        <v>1.2423999999999999</v>
      </c>
      <c r="G4" s="64">
        <v>1.2387900000000001</v>
      </c>
      <c r="H4" s="141">
        <v>1.2</v>
      </c>
      <c r="I4" s="111"/>
      <c r="J4" s="141"/>
      <c r="K4" s="111"/>
      <c r="L4" s="141"/>
      <c r="M4" s="111"/>
      <c r="N4" s="141"/>
      <c r="O4" s="64">
        <v>1.2465999999999999</v>
      </c>
      <c r="P4" s="141">
        <f>IF(D4="B",O4-F4,IF(D4="S",F4-O4))*10000</f>
        <v>41.999999999999815</v>
      </c>
      <c r="Q4" s="143">
        <f>-(E4*H4)</f>
        <v>-3.24</v>
      </c>
      <c r="R4" s="172">
        <f>E4*P4</f>
        <v>113.39999999999951</v>
      </c>
      <c r="S4" s="144">
        <f>ABS(R4/Q4)</f>
        <v>34.999999999999844</v>
      </c>
      <c r="T4" s="144">
        <f>IF(AB4&gt;0,AB4/ABS(Q4))</f>
        <v>17.669753086419753</v>
      </c>
      <c r="U4" s="160">
        <v>1.2444999999999999</v>
      </c>
      <c r="V4" s="161">
        <v>43900.524305555555</v>
      </c>
      <c r="W4" s="162" t="s">
        <v>8</v>
      </c>
      <c r="X4" s="169"/>
      <c r="Y4" s="169"/>
      <c r="Z4" s="22" t="b">
        <f>IF(Y4="Y",AB4-R4,IF(X4="Y",AB4-Q4))</f>
        <v>0</v>
      </c>
      <c r="AA4" s="74">
        <f>(V4-B4)*24</f>
        <v>2.9166666665696539</v>
      </c>
      <c r="AB4" s="155">
        <v>57.25</v>
      </c>
      <c r="AC4" s="175"/>
      <c r="AD4" s="175"/>
      <c r="AE4" s="77" t="str">
        <f>IF(A4&lt;&gt;"",A4&amp;" - "&amp;TEXT(B4, "dd/mm/yyyy hh:mm"),"")</f>
        <v>GBPUSD - 10/03/2020 09:40</v>
      </c>
      <c r="AF4" s="135">
        <v>8</v>
      </c>
      <c r="AG4" s="135">
        <v>5</v>
      </c>
      <c r="AH4" s="135">
        <v>3</v>
      </c>
      <c r="AI4" s="135">
        <v>0</v>
      </c>
      <c r="AJ4" s="135">
        <v>0</v>
      </c>
      <c r="AK4" s="136">
        <f>SUM(AF4:AJ4)</f>
        <v>16</v>
      </c>
    </row>
    <row r="5" spans="1:37">
      <c r="A5" s="65" t="s">
        <v>68</v>
      </c>
      <c r="B5" s="66">
        <v>43903.544444444444</v>
      </c>
      <c r="C5" s="177">
        <v>5</v>
      </c>
      <c r="D5" s="65" t="s">
        <v>23</v>
      </c>
      <c r="E5" s="70">
        <v>4.7</v>
      </c>
      <c r="F5" s="67">
        <v>1.06575</v>
      </c>
      <c r="G5" s="67">
        <v>1.06786</v>
      </c>
      <c r="H5" s="141">
        <v>21.100000000000563</v>
      </c>
      <c r="I5" s="139"/>
      <c r="J5" s="141"/>
      <c r="K5" s="139"/>
      <c r="L5" s="141"/>
      <c r="M5" s="139"/>
      <c r="N5" s="141"/>
      <c r="O5" s="67">
        <v>1.0627</v>
      </c>
      <c r="P5" s="141">
        <f t="shared" ref="P5:P6" si="0">IF(D5="B",O5-F5,IF(D5="S",F5-O5))*10000</f>
        <v>30.499999999999972</v>
      </c>
      <c r="Q5" s="143">
        <f t="shared" ref="Q5:Q8" si="1">-(E5*H5)</f>
        <v>-99.170000000002645</v>
      </c>
      <c r="R5" s="172">
        <f t="shared" ref="R5:R8" si="2">E5*P5</f>
        <v>143.34999999999988</v>
      </c>
      <c r="S5" s="144">
        <f>ABS(R5/Q5)</f>
        <v>1.4454976303317137</v>
      </c>
      <c r="T5" s="144" t="b">
        <f>IF(AB5&gt;0,AB5/ABS(Q5))</f>
        <v>0</v>
      </c>
      <c r="U5" s="163">
        <v>1.0678700000000001</v>
      </c>
      <c r="V5" s="164">
        <v>43903.649305555555</v>
      </c>
      <c r="W5" s="165" t="s">
        <v>5</v>
      </c>
      <c r="X5" s="168"/>
      <c r="Y5" s="168"/>
      <c r="Z5" s="20" t="b">
        <f>IF(Y5="Y",AB5-R5,IF(X5="Y",AB5-Q5))</f>
        <v>0</v>
      </c>
      <c r="AA5" s="75">
        <f>(V5-B5)*24</f>
        <v>2.5166666666627862</v>
      </c>
      <c r="AB5" s="156">
        <v>-90.48</v>
      </c>
      <c r="AC5" s="175"/>
      <c r="AD5" s="175"/>
      <c r="AE5" s="77" t="str">
        <f>IF(A5&lt;&gt;"",A5&amp;" - "&amp;TEXT(B5, "dd/mm/yyyy hh:mm"),"")</f>
        <v>EURUSD - 13/03/2020 13:04</v>
      </c>
      <c r="AF5" s="135">
        <v>8</v>
      </c>
      <c r="AG5" s="135">
        <v>5</v>
      </c>
      <c r="AH5" s="135">
        <v>3</v>
      </c>
      <c r="AI5" s="135">
        <v>0</v>
      </c>
      <c r="AJ5" s="135">
        <v>0</v>
      </c>
      <c r="AK5" s="136">
        <f>SUM(AF5:AJ5)</f>
        <v>16</v>
      </c>
    </row>
    <row r="6" spans="1:37">
      <c r="A6" s="60" t="s">
        <v>51</v>
      </c>
      <c r="B6" s="61">
        <v>43912.579861111109</v>
      </c>
      <c r="C6" s="63">
        <v>3</v>
      </c>
      <c r="D6" s="60" t="s">
        <v>21</v>
      </c>
      <c r="E6" s="69">
        <v>2</v>
      </c>
      <c r="F6" s="64">
        <v>1.4451000000000001</v>
      </c>
      <c r="G6" s="64">
        <v>1.4402999999999999</v>
      </c>
      <c r="H6" s="141">
        <v>48.000000000001378</v>
      </c>
      <c r="I6" s="111"/>
      <c r="J6" s="141"/>
      <c r="K6" s="111"/>
      <c r="L6" s="141"/>
      <c r="M6" s="111"/>
      <c r="N6" s="141"/>
      <c r="O6" s="64">
        <v>1.456</v>
      </c>
      <c r="P6" s="141">
        <f t="shared" si="0"/>
        <v>108.99999999999909</v>
      </c>
      <c r="Q6" s="143">
        <f t="shared" si="1"/>
        <v>-96.000000000002757</v>
      </c>
      <c r="R6" s="172">
        <f t="shared" si="2"/>
        <v>217.99999999999818</v>
      </c>
      <c r="S6" s="145">
        <f>ABS(R6/Q6)</f>
        <v>2.2708333333332491</v>
      </c>
      <c r="T6" s="144">
        <f>IF(AB6&gt;0,AB6/ABS(Q6))</f>
        <v>1.1666666666666332</v>
      </c>
      <c r="U6" s="160">
        <v>1.4510000000000001</v>
      </c>
      <c r="V6" s="161">
        <v>43913.684027777781</v>
      </c>
      <c r="W6" s="162" t="s">
        <v>11</v>
      </c>
      <c r="X6" s="162"/>
      <c r="Y6" s="168" t="s">
        <v>69</v>
      </c>
      <c r="Z6" s="20">
        <f>IF(Y6="Y",AB6-R6,IF(X6="Y",AB6-Q6))</f>
        <v>-105.99999999999818</v>
      </c>
      <c r="AA6" s="75">
        <f>(V6-B6)*24</f>
        <v>26.500000000116415</v>
      </c>
      <c r="AB6" s="157">
        <v>112</v>
      </c>
      <c r="AC6" s="175"/>
      <c r="AD6" s="175"/>
      <c r="AE6" s="110" t="str">
        <f>IF(A6&lt;&gt;"",A6&amp;" - "&amp;TEXT(B6, "dd/mm/yyyy hh:mm"),"")</f>
        <v>GBPUSD - 22/03/2020 13:55</v>
      </c>
      <c r="AF6" s="135">
        <v>8</v>
      </c>
      <c r="AG6" s="135">
        <v>5</v>
      </c>
      <c r="AH6" s="135">
        <v>3</v>
      </c>
      <c r="AI6" s="135">
        <v>0</v>
      </c>
      <c r="AJ6" s="135">
        <v>0</v>
      </c>
      <c r="AK6" s="136">
        <f>SUM(AF6:AJ6)</f>
        <v>16</v>
      </c>
    </row>
    <row r="7" spans="1:37">
      <c r="A7" s="68" t="s">
        <v>70</v>
      </c>
      <c r="B7" s="61">
        <v>43904.333333333336</v>
      </c>
      <c r="C7" s="63">
        <v>4</v>
      </c>
      <c r="D7" s="60" t="s">
        <v>23</v>
      </c>
      <c r="E7" s="69">
        <v>3.2</v>
      </c>
      <c r="F7" s="115">
        <v>11987.61</v>
      </c>
      <c r="G7" s="115">
        <v>12017.87</v>
      </c>
      <c r="H7" s="141">
        <v>30.260000000000218</v>
      </c>
      <c r="I7" s="130">
        <v>11989.59</v>
      </c>
      <c r="J7" s="141"/>
      <c r="K7" s="111"/>
      <c r="L7" s="141"/>
      <c r="M7" s="111"/>
      <c r="N7" s="141"/>
      <c r="O7" s="115">
        <v>11934.98</v>
      </c>
      <c r="P7" s="141">
        <f>IF(D7="B",O7-F7,IF(D7="S",F7-O7))</f>
        <v>52.630000000001019</v>
      </c>
      <c r="Q7" s="143">
        <f t="shared" si="1"/>
        <v>-96.832000000000704</v>
      </c>
      <c r="R7" s="172">
        <f t="shared" si="2"/>
        <v>168.41600000000327</v>
      </c>
      <c r="S7" s="144">
        <f>ABS(R7/Q7)</f>
        <v>1.7392597488433788</v>
      </c>
      <c r="T7" s="144">
        <f>IF(AB7&gt;0,AB7/ABS(Q7))</f>
        <v>0.4362194315928587</v>
      </c>
      <c r="U7" s="166">
        <v>11974</v>
      </c>
      <c r="V7" s="161">
        <v>43904.455555555556</v>
      </c>
      <c r="W7" s="162" t="s">
        <v>11</v>
      </c>
      <c r="X7" s="168" t="s">
        <v>69</v>
      </c>
      <c r="Y7" s="168"/>
      <c r="Z7" s="20">
        <f>IF(Y7="Y",AB7-R7,IF(X7="Y",AB7-Q7))</f>
        <v>139.07200000000071</v>
      </c>
      <c r="AA7" s="75">
        <f>(V7-B7)*24</f>
        <v>2.9333333332906477</v>
      </c>
      <c r="AB7" s="156">
        <v>42.24</v>
      </c>
      <c r="AC7" s="175"/>
      <c r="AD7" s="175"/>
      <c r="AE7" s="77" t="str">
        <f>IF(A7&lt;&gt;"",A7&amp;" - "&amp;TEXT(B7, "dd/mm/yyyy hh:mm"),"")</f>
        <v>DAX - 14/03/2020 08:00</v>
      </c>
      <c r="AF7" s="135">
        <v>8</v>
      </c>
      <c r="AG7" s="135">
        <v>5</v>
      </c>
      <c r="AH7" s="135">
        <v>3</v>
      </c>
      <c r="AI7" s="135">
        <v>0</v>
      </c>
      <c r="AJ7" s="135">
        <v>0</v>
      </c>
      <c r="AK7" s="136">
        <f>SUM(AF7:AJ7)</f>
        <v>16</v>
      </c>
    </row>
    <row r="8" spans="1:37">
      <c r="A8" s="60" t="s">
        <v>71</v>
      </c>
      <c r="B8" s="61">
        <v>43905.490972222222</v>
      </c>
      <c r="C8" s="63">
        <v>2</v>
      </c>
      <c r="D8" s="60" t="s">
        <v>23</v>
      </c>
      <c r="E8" s="69">
        <v>7.5</v>
      </c>
      <c r="F8" s="131">
        <v>1302.25</v>
      </c>
      <c r="G8" s="131">
        <v>1315</v>
      </c>
      <c r="H8" s="141">
        <v>12.75</v>
      </c>
      <c r="I8" s="112"/>
      <c r="J8" s="142"/>
      <c r="K8" s="112"/>
      <c r="L8" s="142"/>
      <c r="M8" s="112"/>
      <c r="N8" s="142"/>
      <c r="O8" s="131">
        <v>1255</v>
      </c>
      <c r="P8" s="141">
        <f t="shared" ref="P8" si="3">IF(D8="B",O8-F8,IF(D8="S",F8-O8))</f>
        <v>47.25</v>
      </c>
      <c r="Q8" s="143">
        <f t="shared" si="1"/>
        <v>-95.625</v>
      </c>
      <c r="R8" s="172">
        <f t="shared" si="2"/>
        <v>354.375</v>
      </c>
      <c r="S8" s="144">
        <f>ABS(R8/Q8)</f>
        <v>3.7058823529411766</v>
      </c>
      <c r="T8" s="144">
        <f>IF(AB8&gt;0,AB8/ABS(Q8))</f>
        <v>3.7059346405228757</v>
      </c>
      <c r="U8" s="167">
        <v>1255</v>
      </c>
      <c r="V8" s="161">
        <v>43905.688888888886</v>
      </c>
      <c r="W8" s="162" t="s">
        <v>13</v>
      </c>
      <c r="X8" s="162" t="s">
        <v>69</v>
      </c>
      <c r="Y8" s="168"/>
      <c r="Z8" s="20">
        <f>IF(Y8="Y",AB8-R8,IF(X8="Y",AB8-Q8))</f>
        <v>450.005</v>
      </c>
      <c r="AA8" s="75">
        <f>(V8-B8)*24</f>
        <v>4.7499999999417923</v>
      </c>
      <c r="AB8" s="156">
        <v>354.38</v>
      </c>
      <c r="AC8" s="175"/>
      <c r="AD8" s="175"/>
      <c r="AE8" s="77" t="str">
        <f>IF(A8&lt;&gt;"",A8&amp;" - "&amp;TEXT(B8, "dd/mm/yyyy hh:mm"),"")</f>
        <v>GOLD - 15/03/2020 11:47</v>
      </c>
      <c r="AF8" s="135">
        <v>8</v>
      </c>
      <c r="AG8" s="135">
        <v>5</v>
      </c>
      <c r="AH8" s="135">
        <v>3</v>
      </c>
      <c r="AI8" s="135">
        <v>0</v>
      </c>
      <c r="AJ8" s="135">
        <v>0</v>
      </c>
      <c r="AK8" s="136">
        <f>SUM(AF8:AJ8)</f>
        <v>16</v>
      </c>
    </row>
    <row r="10" spans="1:37" s="147" customFormat="1" ht="15.75">
      <c r="A10" s="146" t="s">
        <v>72</v>
      </c>
      <c r="B10" s="146"/>
      <c r="C10" s="25"/>
      <c r="D10" s="26"/>
      <c r="E10" s="27"/>
      <c r="F10" s="23"/>
      <c r="Q10" s="148"/>
      <c r="R10" s="149"/>
      <c r="S10" s="149"/>
      <c r="T10" s="149"/>
      <c r="V10" s="150"/>
      <c r="W10" s="150"/>
      <c r="X10" s="151"/>
      <c r="Z10" s="149"/>
      <c r="AA10" s="149"/>
      <c r="AC10" s="151"/>
      <c r="AD10" s="151"/>
      <c r="AF10" s="152"/>
      <c r="AG10" s="152"/>
      <c r="AH10" s="152"/>
      <c r="AI10" s="152"/>
      <c r="AJ10" s="152"/>
      <c r="AK10" s="152"/>
    </row>
    <row r="11" spans="1:37" s="147" customFormat="1" ht="15.75">
      <c r="A11" s="146" t="s">
        <v>73</v>
      </c>
      <c r="B11" s="153">
        <v>10000</v>
      </c>
      <c r="C11" s="25"/>
      <c r="D11" s="26"/>
      <c r="E11" s="27"/>
      <c r="F11" s="23"/>
      <c r="Q11" s="148"/>
      <c r="R11" s="149"/>
      <c r="S11" s="149"/>
      <c r="T11" s="149"/>
      <c r="V11" s="150"/>
      <c r="W11" s="150"/>
      <c r="X11" s="151"/>
      <c r="Z11" s="149"/>
      <c r="AA11" s="149"/>
      <c r="AC11" s="151"/>
      <c r="AD11" s="151"/>
      <c r="AF11" s="152"/>
      <c r="AG11" s="152"/>
      <c r="AH11" s="152"/>
      <c r="AI11" s="152"/>
      <c r="AJ11" s="152"/>
      <c r="AK11" s="152"/>
    </row>
    <row r="13" spans="1:37" s="36" customFormat="1" ht="18.75">
      <c r="A13" s="199" t="s">
        <v>74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1"/>
      <c r="T13" s="41"/>
      <c r="U13" s="205" t="s">
        <v>56</v>
      </c>
      <c r="V13" s="206"/>
      <c r="W13" s="206"/>
      <c r="X13" s="206"/>
      <c r="Y13" s="206"/>
      <c r="Z13" s="206"/>
      <c r="AA13" s="204" t="s">
        <v>57</v>
      </c>
      <c r="AB13" s="204"/>
      <c r="AC13" s="204"/>
      <c r="AD13" s="204"/>
      <c r="AE13" s="18" t="s">
        <v>58</v>
      </c>
      <c r="AF13" s="195" t="s">
        <v>75</v>
      </c>
      <c r="AG13" s="196"/>
      <c r="AH13" s="196"/>
      <c r="AI13" s="196"/>
      <c r="AJ13" s="196"/>
      <c r="AK13" s="197"/>
    </row>
    <row r="14" spans="1:37" s="129" customFormat="1" ht="30">
      <c r="A14" s="116" t="s">
        <v>26</v>
      </c>
      <c r="B14" s="117" t="s">
        <v>27</v>
      </c>
      <c r="C14" s="176" t="s">
        <v>28</v>
      </c>
      <c r="D14" s="116" t="s">
        <v>29</v>
      </c>
      <c r="E14" s="118" t="s">
        <v>76</v>
      </c>
      <c r="F14" s="116" t="s">
        <v>31</v>
      </c>
      <c r="G14" s="116" t="s">
        <v>32</v>
      </c>
      <c r="H14" s="140" t="s">
        <v>61</v>
      </c>
      <c r="I14" s="119" t="s">
        <v>33</v>
      </c>
      <c r="J14" s="140" t="s">
        <v>61</v>
      </c>
      <c r="K14" s="119" t="s">
        <v>34</v>
      </c>
      <c r="L14" s="140" t="s">
        <v>61</v>
      </c>
      <c r="M14" s="119" t="s">
        <v>77</v>
      </c>
      <c r="N14" s="140" t="s">
        <v>61</v>
      </c>
      <c r="O14" s="116" t="s">
        <v>35</v>
      </c>
      <c r="P14" s="140" t="s">
        <v>78</v>
      </c>
      <c r="Q14" s="178" t="s">
        <v>36</v>
      </c>
      <c r="R14" s="179" t="s">
        <v>37</v>
      </c>
      <c r="S14" s="121" t="s">
        <v>38</v>
      </c>
      <c r="T14" s="121" t="s">
        <v>39</v>
      </c>
      <c r="U14" s="158" t="s">
        <v>40</v>
      </c>
      <c r="V14" s="159" t="s">
        <v>41</v>
      </c>
      <c r="W14" s="158" t="s">
        <v>42</v>
      </c>
      <c r="X14" s="170" t="s">
        <v>43</v>
      </c>
      <c r="Y14" s="159" t="s">
        <v>44</v>
      </c>
      <c r="Z14" s="171" t="s">
        <v>45</v>
      </c>
      <c r="AA14" s="126" t="s">
        <v>46</v>
      </c>
      <c r="AB14" s="127" t="s">
        <v>47</v>
      </c>
      <c r="AC14" s="126" t="s">
        <v>48</v>
      </c>
      <c r="AD14" s="127" t="s">
        <v>49</v>
      </c>
      <c r="AE14" s="128" t="s">
        <v>50</v>
      </c>
      <c r="AF14" s="134" t="s">
        <v>62</v>
      </c>
      <c r="AG14" s="134" t="s">
        <v>63</v>
      </c>
      <c r="AH14" s="134" t="s">
        <v>64</v>
      </c>
      <c r="AI14" s="134" t="s">
        <v>65</v>
      </c>
      <c r="AJ14" s="134" t="s">
        <v>66</v>
      </c>
      <c r="AK14" s="134" t="s">
        <v>67</v>
      </c>
    </row>
    <row r="15" spans="1:37">
      <c r="A15" s="60" t="s">
        <v>68</v>
      </c>
      <c r="B15" s="61">
        <v>44777.354166666664</v>
      </c>
      <c r="C15" s="63">
        <v>3</v>
      </c>
      <c r="D15" s="60" t="s">
        <v>21</v>
      </c>
      <c r="E15" s="69">
        <v>4.3</v>
      </c>
      <c r="F15" s="185">
        <v>1.0952</v>
      </c>
      <c r="G15" s="185">
        <v>1.0931999999999999</v>
      </c>
      <c r="H15" s="184">
        <v>20</v>
      </c>
      <c r="I15" s="186">
        <v>1.0952</v>
      </c>
      <c r="J15" s="184">
        <v>0</v>
      </c>
      <c r="K15" s="186">
        <v>1.0972</v>
      </c>
      <c r="L15" s="184"/>
      <c r="M15" s="186"/>
      <c r="N15" s="184"/>
      <c r="O15" s="185">
        <v>1.1052</v>
      </c>
      <c r="P15" s="184">
        <v>100</v>
      </c>
      <c r="Q15" s="180">
        <f>-(E15*H15)</f>
        <v>-86</v>
      </c>
      <c r="R15" s="181">
        <f>E15*P15</f>
        <v>430</v>
      </c>
      <c r="S15" s="182">
        <f t="shared" ref="S15:S21" si="4">ABS(R15/Q15)</f>
        <v>5</v>
      </c>
      <c r="T15" s="182">
        <f t="shared" ref="T15:T21" si="5">IF(AB15&gt;0,AB15/ABS(Q15))</f>
        <v>1.7441860465116279</v>
      </c>
      <c r="U15" s="187">
        <v>1.1052</v>
      </c>
      <c r="V15" s="161">
        <v>44777.709722222222</v>
      </c>
      <c r="W15" s="162" t="s">
        <v>11</v>
      </c>
      <c r="X15" s="169"/>
      <c r="Y15" s="169" t="s">
        <v>79</v>
      </c>
      <c r="Z15" s="22">
        <f t="shared" ref="Z15:Z62" si="6">IF(Y15="Y",AB15-R15,IF(X15="Y",AB15-Q15))</f>
        <v>-280</v>
      </c>
      <c r="AA15" s="74">
        <f t="shared" ref="AA15:AA62" si="7">(V15-B15)*24</f>
        <v>8.53333333338378</v>
      </c>
      <c r="AB15" s="155">
        <v>150</v>
      </c>
      <c r="AC15" s="175">
        <v>10</v>
      </c>
      <c r="AD15" s="180">
        <f>B11+AB15</f>
        <v>10150</v>
      </c>
      <c r="AE15" s="77" t="str">
        <f t="shared" ref="AE15:AE62" si="8">IF(A15&lt;&gt;"",A15&amp;" - "&amp;TEXT(B15, "dd/mm/yyyy hh:mm"),"")</f>
        <v>EURUSD - 04/08/2022 08:30</v>
      </c>
      <c r="AF15" s="135">
        <v>8</v>
      </c>
      <c r="AG15" s="135">
        <v>5</v>
      </c>
      <c r="AH15" s="135">
        <v>3</v>
      </c>
      <c r="AI15" s="135">
        <v>0</v>
      </c>
      <c r="AJ15" s="135">
        <v>0</v>
      </c>
      <c r="AK15" s="136">
        <f t="shared" ref="AK15:AK21" si="9">SUM(AF15:AJ15)</f>
        <v>16</v>
      </c>
    </row>
    <row r="16" spans="1:37">
      <c r="A16" s="60"/>
      <c r="B16" s="61"/>
      <c r="C16" s="63"/>
      <c r="D16" s="60"/>
      <c r="E16" s="69"/>
      <c r="F16" s="185"/>
      <c r="G16" s="185"/>
      <c r="H16" s="184"/>
      <c r="I16" s="186"/>
      <c r="J16" s="184"/>
      <c r="K16" s="186"/>
      <c r="L16" s="184"/>
      <c r="M16" s="186"/>
      <c r="N16" s="184"/>
      <c r="O16" s="185"/>
      <c r="P16" s="184"/>
      <c r="Q16" s="180">
        <f t="shared" ref="Q16:Q62" si="10">-(E16*H16)</f>
        <v>0</v>
      </c>
      <c r="R16" s="181">
        <f t="shared" ref="R16:R62" si="11">E16*P16</f>
        <v>0</v>
      </c>
      <c r="S16" s="182" t="e">
        <f t="shared" ref="S16:S62" si="12">ABS(R16/Q16)</f>
        <v>#DIV/0!</v>
      </c>
      <c r="T16" s="182" t="b">
        <f t="shared" ref="T16:T62" si="13">IF(AB16&gt;0,AB16/ABS(Q16))</f>
        <v>0</v>
      </c>
      <c r="U16" s="187"/>
      <c r="V16" s="161"/>
      <c r="W16" s="162"/>
      <c r="X16" s="169"/>
      <c r="Y16" s="169"/>
      <c r="Z16" s="22" t="b">
        <f t="shared" ref="Z16:Z62" si="14">IF(Y16="Y",AB16-R16,IF(X16="Y",AB16-Q16))</f>
        <v>0</v>
      </c>
      <c r="AA16" s="74">
        <f t="shared" ref="AA16:AA62" si="15">(V16-B16)*24</f>
        <v>0</v>
      </c>
      <c r="AB16" s="155">
        <v>-100</v>
      </c>
      <c r="AC16" s="175"/>
      <c r="AD16" s="180">
        <f>AD15+AB16</f>
        <v>10050</v>
      </c>
      <c r="AE16" s="77" t="str">
        <f t="shared" si="8"/>
        <v/>
      </c>
      <c r="AF16" s="135">
        <v>8</v>
      </c>
      <c r="AG16" s="135">
        <v>5</v>
      </c>
      <c r="AH16" s="135">
        <v>3</v>
      </c>
      <c r="AI16" s="135">
        <v>0</v>
      </c>
      <c r="AJ16" s="135">
        <v>0</v>
      </c>
      <c r="AK16" s="136">
        <f t="shared" si="9"/>
        <v>16</v>
      </c>
    </row>
    <row r="17" spans="1:37">
      <c r="A17" s="60"/>
      <c r="B17" s="61"/>
      <c r="C17" s="63"/>
      <c r="D17" s="60"/>
      <c r="E17" s="69"/>
      <c r="F17" s="185"/>
      <c r="G17" s="185"/>
      <c r="H17" s="184"/>
      <c r="I17" s="186"/>
      <c r="J17" s="184"/>
      <c r="K17" s="186"/>
      <c r="L17" s="184"/>
      <c r="M17" s="186"/>
      <c r="N17" s="184"/>
      <c r="O17" s="185"/>
      <c r="P17" s="184"/>
      <c r="Q17" s="180">
        <f t="shared" si="10"/>
        <v>0</v>
      </c>
      <c r="R17" s="181">
        <f t="shared" si="11"/>
        <v>0</v>
      </c>
      <c r="S17" s="182" t="e">
        <f t="shared" si="12"/>
        <v>#DIV/0!</v>
      </c>
      <c r="T17" s="182" t="e">
        <f t="shared" si="13"/>
        <v>#DIV/0!</v>
      </c>
      <c r="U17" s="187"/>
      <c r="V17" s="161"/>
      <c r="W17" s="162"/>
      <c r="X17" s="169"/>
      <c r="Y17" s="169"/>
      <c r="Z17" s="22" t="b">
        <f t="shared" si="14"/>
        <v>0</v>
      </c>
      <c r="AA17" s="74">
        <f t="shared" si="15"/>
        <v>0</v>
      </c>
      <c r="AB17" s="155">
        <v>250</v>
      </c>
      <c r="AC17" s="175"/>
      <c r="AD17" s="180">
        <f t="shared" ref="AD17:AD62" si="16">AD16+AB17</f>
        <v>10300</v>
      </c>
      <c r="AE17" s="110" t="str">
        <f t="shared" si="8"/>
        <v/>
      </c>
      <c r="AF17" s="135">
        <v>8</v>
      </c>
      <c r="AG17" s="135">
        <v>5</v>
      </c>
      <c r="AH17" s="135">
        <v>3</v>
      </c>
      <c r="AI17" s="135">
        <v>0</v>
      </c>
      <c r="AJ17" s="135">
        <v>0</v>
      </c>
      <c r="AK17" s="136">
        <f t="shared" si="9"/>
        <v>16</v>
      </c>
    </row>
    <row r="18" spans="1:37">
      <c r="A18" s="60"/>
      <c r="B18" s="61"/>
      <c r="C18" s="63"/>
      <c r="D18" s="60"/>
      <c r="E18" s="69"/>
      <c r="F18" s="185"/>
      <c r="G18" s="185"/>
      <c r="H18" s="184"/>
      <c r="I18" s="186"/>
      <c r="J18" s="184"/>
      <c r="K18" s="186"/>
      <c r="L18" s="184"/>
      <c r="M18" s="186"/>
      <c r="N18" s="184"/>
      <c r="O18" s="185"/>
      <c r="P18" s="184"/>
      <c r="Q18" s="180">
        <f t="shared" si="10"/>
        <v>0</v>
      </c>
      <c r="R18" s="181">
        <f t="shared" si="11"/>
        <v>0</v>
      </c>
      <c r="S18" s="182" t="e">
        <f t="shared" si="12"/>
        <v>#DIV/0!</v>
      </c>
      <c r="T18" s="182" t="b">
        <f t="shared" si="13"/>
        <v>0</v>
      </c>
      <c r="U18" s="187"/>
      <c r="V18" s="161"/>
      <c r="W18" s="162"/>
      <c r="X18" s="169"/>
      <c r="Y18" s="169"/>
      <c r="Z18" s="22" t="b">
        <f t="shared" si="14"/>
        <v>0</v>
      </c>
      <c r="AA18" s="74">
        <f t="shared" si="15"/>
        <v>0</v>
      </c>
      <c r="AB18" s="155">
        <v>-150</v>
      </c>
      <c r="AC18" s="175"/>
      <c r="AD18" s="180">
        <f t="shared" si="16"/>
        <v>10150</v>
      </c>
      <c r="AE18" s="77" t="str">
        <f t="shared" si="8"/>
        <v/>
      </c>
      <c r="AF18" s="135">
        <v>8</v>
      </c>
      <c r="AG18" s="135">
        <v>5</v>
      </c>
      <c r="AH18" s="135">
        <v>3</v>
      </c>
      <c r="AI18" s="135">
        <v>0</v>
      </c>
      <c r="AJ18" s="135">
        <v>0</v>
      </c>
      <c r="AK18" s="136">
        <f t="shared" si="9"/>
        <v>16</v>
      </c>
    </row>
    <row r="19" spans="1:37">
      <c r="A19" s="60"/>
      <c r="B19" s="61"/>
      <c r="C19" s="63"/>
      <c r="D19" s="60"/>
      <c r="E19" s="69"/>
      <c r="F19" s="185"/>
      <c r="G19" s="185"/>
      <c r="H19" s="184"/>
      <c r="I19" s="186"/>
      <c r="J19" s="184"/>
      <c r="K19" s="186"/>
      <c r="L19" s="184"/>
      <c r="M19" s="186"/>
      <c r="N19" s="184"/>
      <c r="O19" s="185"/>
      <c r="P19" s="184"/>
      <c r="Q19" s="180">
        <f t="shared" si="10"/>
        <v>0</v>
      </c>
      <c r="R19" s="181">
        <f t="shared" si="11"/>
        <v>0</v>
      </c>
      <c r="S19" s="182" t="e">
        <f t="shared" si="12"/>
        <v>#DIV/0!</v>
      </c>
      <c r="T19" s="182" t="b">
        <f t="shared" si="13"/>
        <v>0</v>
      </c>
      <c r="U19" s="187"/>
      <c r="V19" s="161"/>
      <c r="W19" s="162"/>
      <c r="X19" s="169"/>
      <c r="Y19" s="169"/>
      <c r="Z19" s="22" t="b">
        <f t="shared" si="14"/>
        <v>0</v>
      </c>
      <c r="AA19" s="74">
        <f t="shared" si="15"/>
        <v>0</v>
      </c>
      <c r="AB19" s="155">
        <v>-200</v>
      </c>
      <c r="AC19" s="175"/>
      <c r="AD19" s="180">
        <f t="shared" si="16"/>
        <v>9950</v>
      </c>
      <c r="AE19" s="77" t="str">
        <f t="shared" si="8"/>
        <v/>
      </c>
      <c r="AF19" s="135">
        <v>8</v>
      </c>
      <c r="AG19" s="135">
        <v>5</v>
      </c>
      <c r="AH19" s="135">
        <v>3</v>
      </c>
      <c r="AI19" s="135">
        <v>0</v>
      </c>
      <c r="AJ19" s="135">
        <v>0</v>
      </c>
      <c r="AK19" s="136">
        <f t="shared" si="9"/>
        <v>16</v>
      </c>
    </row>
    <row r="20" spans="1:37">
      <c r="A20" s="60"/>
      <c r="B20" s="61"/>
      <c r="C20" s="63"/>
      <c r="D20" s="60"/>
      <c r="E20" s="69"/>
      <c r="F20" s="185"/>
      <c r="G20" s="185"/>
      <c r="H20" s="184"/>
      <c r="I20" s="186"/>
      <c r="J20" s="184"/>
      <c r="K20" s="186"/>
      <c r="L20" s="184"/>
      <c r="M20" s="186"/>
      <c r="N20" s="184"/>
      <c r="O20" s="185"/>
      <c r="P20" s="184"/>
      <c r="Q20" s="180">
        <f t="shared" si="10"/>
        <v>0</v>
      </c>
      <c r="R20" s="181">
        <f t="shared" si="11"/>
        <v>0</v>
      </c>
      <c r="S20" s="182" t="e">
        <f t="shared" si="12"/>
        <v>#DIV/0!</v>
      </c>
      <c r="T20" s="182" t="b">
        <f t="shared" si="13"/>
        <v>0</v>
      </c>
      <c r="U20" s="187"/>
      <c r="V20" s="161"/>
      <c r="W20" s="162"/>
      <c r="X20" s="169"/>
      <c r="Y20" s="169"/>
      <c r="Z20" s="22" t="b">
        <f t="shared" si="14"/>
        <v>0</v>
      </c>
      <c r="AA20" s="74">
        <f t="shared" si="15"/>
        <v>0</v>
      </c>
      <c r="AB20" s="155"/>
      <c r="AC20" s="175"/>
      <c r="AD20" s="180">
        <f t="shared" si="16"/>
        <v>9950</v>
      </c>
      <c r="AE20" s="77" t="str">
        <f t="shared" si="8"/>
        <v/>
      </c>
      <c r="AF20" s="135">
        <v>8</v>
      </c>
      <c r="AG20" s="135">
        <v>5</v>
      </c>
      <c r="AH20" s="135">
        <v>3</v>
      </c>
      <c r="AI20" s="135">
        <v>0</v>
      </c>
      <c r="AJ20" s="135">
        <v>0</v>
      </c>
      <c r="AK20" s="136">
        <f t="shared" si="9"/>
        <v>16</v>
      </c>
    </row>
    <row r="21" spans="1:37">
      <c r="A21" s="60"/>
      <c r="B21" s="61"/>
      <c r="C21" s="63"/>
      <c r="D21" s="60"/>
      <c r="E21" s="69"/>
      <c r="F21" s="185"/>
      <c r="G21" s="185"/>
      <c r="H21" s="184"/>
      <c r="I21" s="186"/>
      <c r="J21" s="184"/>
      <c r="K21" s="186"/>
      <c r="L21" s="184"/>
      <c r="M21" s="186"/>
      <c r="N21" s="184"/>
      <c r="O21" s="185"/>
      <c r="P21" s="184"/>
      <c r="Q21" s="180">
        <f t="shared" si="10"/>
        <v>0</v>
      </c>
      <c r="R21" s="181">
        <f t="shared" si="11"/>
        <v>0</v>
      </c>
      <c r="S21" s="182" t="e">
        <f t="shared" si="12"/>
        <v>#DIV/0!</v>
      </c>
      <c r="T21" s="182" t="b">
        <f t="shared" si="13"/>
        <v>0</v>
      </c>
      <c r="U21" s="187"/>
      <c r="V21" s="161"/>
      <c r="W21" s="162"/>
      <c r="X21" s="169"/>
      <c r="Y21" s="169"/>
      <c r="Z21" s="22" t="b">
        <f t="shared" si="14"/>
        <v>0</v>
      </c>
      <c r="AA21" s="74">
        <f t="shared" si="15"/>
        <v>0</v>
      </c>
      <c r="AB21" s="155"/>
      <c r="AC21" s="175"/>
      <c r="AD21" s="180">
        <f t="shared" si="16"/>
        <v>9950</v>
      </c>
      <c r="AE21" s="110" t="str">
        <f t="shared" si="8"/>
        <v/>
      </c>
      <c r="AF21" s="135">
        <v>8</v>
      </c>
      <c r="AG21" s="135">
        <v>5</v>
      </c>
      <c r="AH21" s="135">
        <v>3</v>
      </c>
      <c r="AI21" s="135">
        <v>0</v>
      </c>
      <c r="AJ21" s="135">
        <v>0</v>
      </c>
      <c r="AK21" s="136">
        <f t="shared" si="9"/>
        <v>16</v>
      </c>
    </row>
    <row r="22" spans="1:37" s="37" customFormat="1">
      <c r="A22" s="60"/>
      <c r="B22" s="61"/>
      <c r="C22" s="63"/>
      <c r="D22" s="60"/>
      <c r="E22" s="69"/>
      <c r="F22" s="185"/>
      <c r="G22" s="185"/>
      <c r="H22" s="184"/>
      <c r="I22" s="186"/>
      <c r="J22" s="184"/>
      <c r="K22" s="186"/>
      <c r="L22" s="184"/>
      <c r="M22" s="186"/>
      <c r="N22" s="184"/>
      <c r="O22" s="185"/>
      <c r="P22" s="184"/>
      <c r="Q22" s="180">
        <f t="shared" si="10"/>
        <v>0</v>
      </c>
      <c r="R22" s="181">
        <f t="shared" si="11"/>
        <v>0</v>
      </c>
      <c r="S22" s="182" t="e">
        <f t="shared" si="12"/>
        <v>#DIV/0!</v>
      </c>
      <c r="T22" s="182" t="b">
        <f t="shared" si="13"/>
        <v>0</v>
      </c>
      <c r="U22" s="187"/>
      <c r="V22" s="161"/>
      <c r="W22" s="162"/>
      <c r="X22" s="169"/>
      <c r="Y22" s="169"/>
      <c r="Z22" s="22" t="b">
        <f t="shared" si="14"/>
        <v>0</v>
      </c>
      <c r="AA22" s="74">
        <f t="shared" si="15"/>
        <v>0</v>
      </c>
      <c r="AB22" s="155"/>
      <c r="AC22" s="175"/>
      <c r="AD22" s="180">
        <f t="shared" si="16"/>
        <v>9950</v>
      </c>
      <c r="AE22" s="59" t="str">
        <f t="shared" si="8"/>
        <v/>
      </c>
      <c r="AF22" s="137"/>
      <c r="AG22" s="137"/>
      <c r="AH22" s="137"/>
      <c r="AI22" s="137"/>
      <c r="AJ22" s="137"/>
      <c r="AK22" s="138"/>
    </row>
    <row r="23" spans="1:37" s="37" customFormat="1">
      <c r="A23" s="60"/>
      <c r="B23" s="61"/>
      <c r="C23" s="63"/>
      <c r="D23" s="60"/>
      <c r="E23" s="69"/>
      <c r="F23" s="185"/>
      <c r="G23" s="185"/>
      <c r="H23" s="184"/>
      <c r="I23" s="186"/>
      <c r="J23" s="184"/>
      <c r="K23" s="186"/>
      <c r="L23" s="184"/>
      <c r="M23" s="186"/>
      <c r="N23" s="184"/>
      <c r="O23" s="185"/>
      <c r="P23" s="184"/>
      <c r="Q23" s="180">
        <f t="shared" si="10"/>
        <v>0</v>
      </c>
      <c r="R23" s="181">
        <f t="shared" si="11"/>
        <v>0</v>
      </c>
      <c r="S23" s="182" t="e">
        <f t="shared" si="12"/>
        <v>#DIV/0!</v>
      </c>
      <c r="T23" s="182" t="b">
        <f t="shared" si="13"/>
        <v>0</v>
      </c>
      <c r="U23" s="187"/>
      <c r="V23" s="161"/>
      <c r="W23" s="162"/>
      <c r="X23" s="169"/>
      <c r="Y23" s="169"/>
      <c r="Z23" s="22" t="b">
        <f t="shared" si="14"/>
        <v>0</v>
      </c>
      <c r="AA23" s="74">
        <f t="shared" si="15"/>
        <v>0</v>
      </c>
      <c r="AB23" s="155"/>
      <c r="AC23" s="175"/>
      <c r="AD23" s="180">
        <f t="shared" si="16"/>
        <v>9950</v>
      </c>
      <c r="AE23" s="59" t="str">
        <f t="shared" si="8"/>
        <v/>
      </c>
      <c r="AF23" s="137"/>
      <c r="AG23" s="137"/>
      <c r="AH23" s="137"/>
      <c r="AI23" s="137"/>
      <c r="AJ23" s="137"/>
      <c r="AK23" s="138"/>
    </row>
    <row r="24" spans="1:37">
      <c r="A24" s="60"/>
      <c r="B24" s="61"/>
      <c r="C24" s="63"/>
      <c r="D24" s="60"/>
      <c r="E24" s="69"/>
      <c r="F24" s="185"/>
      <c r="G24" s="185"/>
      <c r="H24" s="184"/>
      <c r="I24" s="186"/>
      <c r="J24" s="184"/>
      <c r="K24" s="186"/>
      <c r="L24" s="184"/>
      <c r="M24" s="186"/>
      <c r="N24" s="184"/>
      <c r="O24" s="185"/>
      <c r="P24" s="184"/>
      <c r="Q24" s="180">
        <f t="shared" si="10"/>
        <v>0</v>
      </c>
      <c r="R24" s="181">
        <f t="shared" si="11"/>
        <v>0</v>
      </c>
      <c r="S24" s="182" t="e">
        <f t="shared" si="12"/>
        <v>#DIV/0!</v>
      </c>
      <c r="T24" s="182" t="b">
        <f t="shared" si="13"/>
        <v>0</v>
      </c>
      <c r="U24" s="187"/>
      <c r="V24" s="161"/>
      <c r="W24" s="162"/>
      <c r="X24" s="169"/>
      <c r="Y24" s="169"/>
      <c r="Z24" s="22" t="b">
        <f t="shared" si="14"/>
        <v>0</v>
      </c>
      <c r="AA24" s="74">
        <f t="shared" si="15"/>
        <v>0</v>
      </c>
      <c r="AB24" s="155"/>
      <c r="AC24" s="175"/>
      <c r="AD24" s="180">
        <f t="shared" si="16"/>
        <v>9950</v>
      </c>
      <c r="AE24" s="59" t="str">
        <f t="shared" si="8"/>
        <v/>
      </c>
      <c r="AF24" s="137"/>
      <c r="AG24" s="137"/>
      <c r="AH24" s="137"/>
      <c r="AI24" s="137"/>
      <c r="AJ24" s="137"/>
      <c r="AK24" s="138"/>
    </row>
    <row r="25" spans="1:37">
      <c r="A25" s="60"/>
      <c r="B25" s="61"/>
      <c r="C25" s="63"/>
      <c r="D25" s="60"/>
      <c r="E25" s="69"/>
      <c r="F25" s="185"/>
      <c r="G25" s="185"/>
      <c r="H25" s="184"/>
      <c r="I25" s="186"/>
      <c r="J25" s="184"/>
      <c r="K25" s="186"/>
      <c r="L25" s="184"/>
      <c r="M25" s="186"/>
      <c r="N25" s="184"/>
      <c r="O25" s="183"/>
      <c r="P25" s="184"/>
      <c r="Q25" s="180">
        <f t="shared" si="10"/>
        <v>0</v>
      </c>
      <c r="R25" s="181">
        <f t="shared" si="11"/>
        <v>0</v>
      </c>
      <c r="S25" s="182" t="e">
        <f t="shared" si="12"/>
        <v>#DIV/0!</v>
      </c>
      <c r="T25" s="182" t="b">
        <f t="shared" si="13"/>
        <v>0</v>
      </c>
      <c r="U25" s="187"/>
      <c r="V25" s="161"/>
      <c r="W25" s="162"/>
      <c r="X25" s="169"/>
      <c r="Y25" s="169"/>
      <c r="Z25" s="22" t="b">
        <f t="shared" si="14"/>
        <v>0</v>
      </c>
      <c r="AA25" s="74">
        <f t="shared" si="15"/>
        <v>0</v>
      </c>
      <c r="AB25" s="155"/>
      <c r="AC25" s="175"/>
      <c r="AD25" s="180">
        <f t="shared" si="16"/>
        <v>9950</v>
      </c>
      <c r="AE25" s="59" t="str">
        <f t="shared" si="8"/>
        <v/>
      </c>
      <c r="AF25" s="137"/>
      <c r="AG25" s="137"/>
      <c r="AH25" s="137"/>
      <c r="AI25" s="137"/>
      <c r="AJ25" s="137"/>
      <c r="AK25" s="138"/>
    </row>
    <row r="26" spans="1:37">
      <c r="A26" s="60"/>
      <c r="B26" s="61"/>
      <c r="C26" s="63"/>
      <c r="D26" s="60"/>
      <c r="E26" s="69"/>
      <c r="F26" s="185"/>
      <c r="G26" s="185"/>
      <c r="H26" s="184"/>
      <c r="I26" s="186"/>
      <c r="J26" s="184"/>
      <c r="K26" s="186"/>
      <c r="L26" s="184"/>
      <c r="M26" s="186"/>
      <c r="N26" s="184"/>
      <c r="O26" s="183"/>
      <c r="P26" s="184"/>
      <c r="Q26" s="180">
        <f t="shared" si="10"/>
        <v>0</v>
      </c>
      <c r="R26" s="181">
        <f t="shared" si="11"/>
        <v>0</v>
      </c>
      <c r="S26" s="182" t="e">
        <f t="shared" si="12"/>
        <v>#DIV/0!</v>
      </c>
      <c r="T26" s="182" t="b">
        <f t="shared" si="13"/>
        <v>0</v>
      </c>
      <c r="U26" s="187"/>
      <c r="V26" s="161"/>
      <c r="W26" s="162"/>
      <c r="X26" s="169"/>
      <c r="Y26" s="169"/>
      <c r="Z26" s="22" t="b">
        <f t="shared" si="14"/>
        <v>0</v>
      </c>
      <c r="AA26" s="74">
        <f t="shared" si="15"/>
        <v>0</v>
      </c>
      <c r="AB26" s="155"/>
      <c r="AC26" s="175"/>
      <c r="AD26" s="180">
        <f t="shared" si="16"/>
        <v>9950</v>
      </c>
      <c r="AE26" s="59" t="str">
        <f t="shared" si="8"/>
        <v/>
      </c>
      <c r="AF26" s="137"/>
      <c r="AG26" s="137"/>
      <c r="AH26" s="137"/>
      <c r="AI26" s="137"/>
      <c r="AJ26" s="137"/>
      <c r="AK26" s="138"/>
    </row>
    <row r="27" spans="1:37">
      <c r="A27" s="60"/>
      <c r="B27" s="61"/>
      <c r="C27" s="63"/>
      <c r="D27" s="60"/>
      <c r="E27" s="69"/>
      <c r="F27" s="185"/>
      <c r="G27" s="185"/>
      <c r="H27" s="184"/>
      <c r="I27" s="186"/>
      <c r="J27" s="184"/>
      <c r="K27" s="186"/>
      <c r="L27" s="184"/>
      <c r="M27" s="186"/>
      <c r="N27" s="184"/>
      <c r="O27" s="183"/>
      <c r="P27" s="184"/>
      <c r="Q27" s="180">
        <f t="shared" si="10"/>
        <v>0</v>
      </c>
      <c r="R27" s="181">
        <f t="shared" si="11"/>
        <v>0</v>
      </c>
      <c r="S27" s="182" t="e">
        <f t="shared" si="12"/>
        <v>#DIV/0!</v>
      </c>
      <c r="T27" s="182" t="b">
        <f t="shared" si="13"/>
        <v>0</v>
      </c>
      <c r="U27" s="187"/>
      <c r="V27" s="161"/>
      <c r="W27" s="162"/>
      <c r="X27" s="169"/>
      <c r="Y27" s="169"/>
      <c r="Z27" s="22" t="b">
        <f t="shared" si="14"/>
        <v>0</v>
      </c>
      <c r="AA27" s="74">
        <f t="shared" si="15"/>
        <v>0</v>
      </c>
      <c r="AB27" s="155"/>
      <c r="AC27" s="175"/>
      <c r="AD27" s="180">
        <f t="shared" si="16"/>
        <v>9950</v>
      </c>
      <c r="AE27" s="59" t="str">
        <f t="shared" si="8"/>
        <v/>
      </c>
      <c r="AF27" s="137"/>
      <c r="AG27" s="137"/>
      <c r="AH27" s="137"/>
      <c r="AI27" s="137"/>
      <c r="AJ27" s="137"/>
      <c r="AK27" s="138"/>
    </row>
    <row r="28" spans="1:37">
      <c r="A28" s="60"/>
      <c r="B28" s="61"/>
      <c r="C28" s="63"/>
      <c r="D28" s="60"/>
      <c r="E28" s="69"/>
      <c r="F28" s="185"/>
      <c r="G28" s="185"/>
      <c r="H28" s="184"/>
      <c r="I28" s="186"/>
      <c r="J28" s="184"/>
      <c r="K28" s="186"/>
      <c r="L28" s="184"/>
      <c r="M28" s="186"/>
      <c r="N28" s="184"/>
      <c r="O28" s="183"/>
      <c r="P28" s="184"/>
      <c r="Q28" s="180">
        <f t="shared" si="10"/>
        <v>0</v>
      </c>
      <c r="R28" s="181">
        <f t="shared" si="11"/>
        <v>0</v>
      </c>
      <c r="S28" s="182" t="e">
        <f t="shared" si="12"/>
        <v>#DIV/0!</v>
      </c>
      <c r="T28" s="182" t="b">
        <f t="shared" si="13"/>
        <v>0</v>
      </c>
      <c r="U28" s="187"/>
      <c r="V28" s="161"/>
      <c r="W28" s="162"/>
      <c r="X28" s="169"/>
      <c r="Y28" s="169"/>
      <c r="Z28" s="22" t="b">
        <f t="shared" si="14"/>
        <v>0</v>
      </c>
      <c r="AA28" s="74">
        <f t="shared" si="15"/>
        <v>0</v>
      </c>
      <c r="AB28" s="155"/>
      <c r="AC28" s="175"/>
      <c r="AD28" s="180">
        <f t="shared" si="16"/>
        <v>9950</v>
      </c>
      <c r="AE28" s="59" t="str">
        <f t="shared" si="8"/>
        <v/>
      </c>
      <c r="AF28" s="137"/>
      <c r="AG28" s="137"/>
      <c r="AH28" s="137"/>
      <c r="AI28" s="137"/>
      <c r="AJ28" s="137"/>
      <c r="AK28" s="138"/>
    </row>
    <row r="29" spans="1:37">
      <c r="A29" s="60"/>
      <c r="B29" s="61"/>
      <c r="C29" s="63"/>
      <c r="D29" s="60"/>
      <c r="E29" s="69"/>
      <c r="F29" s="185"/>
      <c r="G29" s="185"/>
      <c r="H29" s="184"/>
      <c r="I29" s="186"/>
      <c r="J29" s="184"/>
      <c r="K29" s="186"/>
      <c r="L29" s="184"/>
      <c r="M29" s="186"/>
      <c r="N29" s="184"/>
      <c r="O29" s="183"/>
      <c r="P29" s="184"/>
      <c r="Q29" s="180">
        <f t="shared" si="10"/>
        <v>0</v>
      </c>
      <c r="R29" s="181">
        <f t="shared" si="11"/>
        <v>0</v>
      </c>
      <c r="S29" s="182" t="e">
        <f t="shared" si="12"/>
        <v>#DIV/0!</v>
      </c>
      <c r="T29" s="182" t="b">
        <f t="shared" si="13"/>
        <v>0</v>
      </c>
      <c r="U29" s="187"/>
      <c r="V29" s="161"/>
      <c r="W29" s="162"/>
      <c r="X29" s="169"/>
      <c r="Y29" s="169"/>
      <c r="Z29" s="22" t="b">
        <f t="shared" si="14"/>
        <v>0</v>
      </c>
      <c r="AA29" s="74">
        <f t="shared" si="15"/>
        <v>0</v>
      </c>
      <c r="AB29" s="155"/>
      <c r="AC29" s="175"/>
      <c r="AD29" s="180">
        <f t="shared" si="16"/>
        <v>9950</v>
      </c>
      <c r="AE29" s="59" t="str">
        <f t="shared" si="8"/>
        <v/>
      </c>
      <c r="AF29" s="137"/>
      <c r="AG29" s="137"/>
      <c r="AH29" s="137"/>
      <c r="AI29" s="137"/>
      <c r="AJ29" s="137"/>
      <c r="AK29" s="138"/>
    </row>
    <row r="30" spans="1:37">
      <c r="A30" s="60"/>
      <c r="B30" s="61"/>
      <c r="C30" s="63"/>
      <c r="D30" s="60"/>
      <c r="E30" s="69"/>
      <c r="F30" s="185"/>
      <c r="G30" s="185"/>
      <c r="H30" s="184"/>
      <c r="I30" s="186"/>
      <c r="J30" s="184"/>
      <c r="K30" s="186"/>
      <c r="L30" s="184"/>
      <c r="M30" s="186"/>
      <c r="N30" s="184"/>
      <c r="O30" s="183"/>
      <c r="P30" s="184"/>
      <c r="Q30" s="180">
        <f t="shared" si="10"/>
        <v>0</v>
      </c>
      <c r="R30" s="181">
        <f t="shared" si="11"/>
        <v>0</v>
      </c>
      <c r="S30" s="182" t="e">
        <f t="shared" si="12"/>
        <v>#DIV/0!</v>
      </c>
      <c r="T30" s="182" t="b">
        <f t="shared" si="13"/>
        <v>0</v>
      </c>
      <c r="U30" s="187"/>
      <c r="V30" s="161"/>
      <c r="W30" s="162"/>
      <c r="X30" s="169"/>
      <c r="Y30" s="169"/>
      <c r="Z30" s="22" t="b">
        <f t="shared" si="14"/>
        <v>0</v>
      </c>
      <c r="AA30" s="74">
        <f t="shared" si="15"/>
        <v>0</v>
      </c>
      <c r="AB30" s="155"/>
      <c r="AC30" s="175"/>
      <c r="AD30" s="180">
        <f t="shared" si="16"/>
        <v>9950</v>
      </c>
      <c r="AE30" s="59" t="str">
        <f t="shared" si="8"/>
        <v/>
      </c>
      <c r="AF30" s="137"/>
      <c r="AG30" s="137"/>
      <c r="AH30" s="137"/>
      <c r="AI30" s="137"/>
      <c r="AJ30" s="137"/>
      <c r="AK30" s="138"/>
    </row>
    <row r="31" spans="1:37">
      <c r="A31" s="60"/>
      <c r="B31" s="61"/>
      <c r="C31" s="63"/>
      <c r="D31" s="60"/>
      <c r="E31" s="69"/>
      <c r="F31" s="185"/>
      <c r="G31" s="185"/>
      <c r="H31" s="184"/>
      <c r="I31" s="186"/>
      <c r="J31" s="184"/>
      <c r="K31" s="186"/>
      <c r="L31" s="184"/>
      <c r="M31" s="186"/>
      <c r="N31" s="184"/>
      <c r="O31" s="183"/>
      <c r="P31" s="184"/>
      <c r="Q31" s="180">
        <f t="shared" si="10"/>
        <v>0</v>
      </c>
      <c r="R31" s="181">
        <f t="shared" si="11"/>
        <v>0</v>
      </c>
      <c r="S31" s="182" t="e">
        <f t="shared" si="12"/>
        <v>#DIV/0!</v>
      </c>
      <c r="T31" s="182" t="b">
        <f t="shared" si="13"/>
        <v>0</v>
      </c>
      <c r="U31" s="187"/>
      <c r="V31" s="161"/>
      <c r="W31" s="162"/>
      <c r="X31" s="169"/>
      <c r="Y31" s="169"/>
      <c r="Z31" s="22" t="b">
        <f t="shared" si="14"/>
        <v>0</v>
      </c>
      <c r="AA31" s="74">
        <f t="shared" si="15"/>
        <v>0</v>
      </c>
      <c r="AB31" s="155"/>
      <c r="AC31" s="175"/>
      <c r="AD31" s="180">
        <f t="shared" si="16"/>
        <v>9950</v>
      </c>
      <c r="AE31" s="59" t="str">
        <f t="shared" si="8"/>
        <v/>
      </c>
      <c r="AF31" s="137"/>
      <c r="AG31" s="137"/>
      <c r="AH31" s="137"/>
      <c r="AI31" s="137"/>
      <c r="AJ31" s="137"/>
      <c r="AK31" s="138"/>
    </row>
    <row r="32" spans="1:37">
      <c r="A32" s="60"/>
      <c r="B32" s="61"/>
      <c r="C32" s="63"/>
      <c r="D32" s="60"/>
      <c r="E32" s="69"/>
      <c r="F32" s="185"/>
      <c r="G32" s="185"/>
      <c r="H32" s="184"/>
      <c r="I32" s="186"/>
      <c r="J32" s="184"/>
      <c r="K32" s="186"/>
      <c r="L32" s="184"/>
      <c r="M32" s="186"/>
      <c r="N32" s="184"/>
      <c r="O32" s="183"/>
      <c r="P32" s="184"/>
      <c r="Q32" s="180">
        <f t="shared" si="10"/>
        <v>0</v>
      </c>
      <c r="R32" s="181">
        <f t="shared" si="11"/>
        <v>0</v>
      </c>
      <c r="S32" s="182" t="e">
        <f t="shared" si="12"/>
        <v>#DIV/0!</v>
      </c>
      <c r="T32" s="182" t="b">
        <f t="shared" si="13"/>
        <v>0</v>
      </c>
      <c r="U32" s="187"/>
      <c r="V32" s="161"/>
      <c r="W32" s="162"/>
      <c r="X32" s="169"/>
      <c r="Y32" s="169"/>
      <c r="Z32" s="22" t="b">
        <f t="shared" si="14"/>
        <v>0</v>
      </c>
      <c r="AA32" s="74">
        <f t="shared" si="15"/>
        <v>0</v>
      </c>
      <c r="AB32" s="155"/>
      <c r="AC32" s="175"/>
      <c r="AD32" s="180">
        <f t="shared" si="16"/>
        <v>9950</v>
      </c>
      <c r="AE32" s="59" t="str">
        <f t="shared" si="8"/>
        <v/>
      </c>
      <c r="AF32" s="137"/>
      <c r="AG32" s="137"/>
      <c r="AH32" s="137"/>
      <c r="AI32" s="137"/>
      <c r="AJ32" s="137"/>
      <c r="AK32" s="138"/>
    </row>
    <row r="33" spans="1:37">
      <c r="A33" s="60"/>
      <c r="B33" s="61"/>
      <c r="C33" s="63"/>
      <c r="D33" s="60"/>
      <c r="E33" s="69"/>
      <c r="F33" s="185"/>
      <c r="G33" s="185"/>
      <c r="H33" s="184"/>
      <c r="I33" s="186"/>
      <c r="J33" s="184"/>
      <c r="K33" s="186"/>
      <c r="L33" s="184"/>
      <c r="M33" s="186"/>
      <c r="N33" s="184"/>
      <c r="O33" s="183"/>
      <c r="P33" s="184"/>
      <c r="Q33" s="180">
        <f t="shared" si="10"/>
        <v>0</v>
      </c>
      <c r="R33" s="181">
        <f t="shared" si="11"/>
        <v>0</v>
      </c>
      <c r="S33" s="182" t="e">
        <f t="shared" si="12"/>
        <v>#DIV/0!</v>
      </c>
      <c r="T33" s="182" t="b">
        <f t="shared" si="13"/>
        <v>0</v>
      </c>
      <c r="U33" s="187"/>
      <c r="V33" s="161"/>
      <c r="W33" s="162"/>
      <c r="X33" s="169"/>
      <c r="Y33" s="169"/>
      <c r="Z33" s="22" t="b">
        <f t="shared" si="14"/>
        <v>0</v>
      </c>
      <c r="AA33" s="74">
        <f t="shared" si="15"/>
        <v>0</v>
      </c>
      <c r="AB33" s="155"/>
      <c r="AC33" s="175"/>
      <c r="AD33" s="180">
        <f t="shared" si="16"/>
        <v>9950</v>
      </c>
      <c r="AE33" s="59" t="str">
        <f t="shared" si="8"/>
        <v/>
      </c>
      <c r="AF33" s="137"/>
      <c r="AG33" s="137"/>
      <c r="AH33" s="137"/>
      <c r="AI33" s="137"/>
      <c r="AJ33" s="137"/>
      <c r="AK33" s="138"/>
    </row>
    <row r="34" spans="1:37">
      <c r="A34" s="60"/>
      <c r="B34" s="61"/>
      <c r="C34" s="63"/>
      <c r="D34" s="60"/>
      <c r="E34" s="69"/>
      <c r="F34" s="185"/>
      <c r="G34" s="185"/>
      <c r="H34" s="184"/>
      <c r="I34" s="186"/>
      <c r="J34" s="184"/>
      <c r="K34" s="186"/>
      <c r="L34" s="184"/>
      <c r="M34" s="186"/>
      <c r="N34" s="184"/>
      <c r="O34" s="183"/>
      <c r="P34" s="184"/>
      <c r="Q34" s="180">
        <f t="shared" si="10"/>
        <v>0</v>
      </c>
      <c r="R34" s="181">
        <f t="shared" si="11"/>
        <v>0</v>
      </c>
      <c r="S34" s="182" t="e">
        <f t="shared" si="12"/>
        <v>#DIV/0!</v>
      </c>
      <c r="T34" s="182" t="b">
        <f t="shared" si="13"/>
        <v>0</v>
      </c>
      <c r="U34" s="187"/>
      <c r="V34" s="161"/>
      <c r="W34" s="162"/>
      <c r="X34" s="169"/>
      <c r="Y34" s="169"/>
      <c r="Z34" s="22" t="b">
        <f t="shared" si="14"/>
        <v>0</v>
      </c>
      <c r="AA34" s="74">
        <f t="shared" si="15"/>
        <v>0</v>
      </c>
      <c r="AB34" s="155"/>
      <c r="AC34" s="175"/>
      <c r="AD34" s="180">
        <f t="shared" si="16"/>
        <v>9950</v>
      </c>
      <c r="AE34" s="59" t="str">
        <f t="shared" si="8"/>
        <v/>
      </c>
      <c r="AF34" s="137"/>
      <c r="AG34" s="137"/>
      <c r="AH34" s="137"/>
      <c r="AI34" s="137"/>
      <c r="AJ34" s="137"/>
      <c r="AK34" s="138"/>
    </row>
    <row r="35" spans="1:37">
      <c r="A35" s="60"/>
      <c r="B35" s="61"/>
      <c r="C35" s="63"/>
      <c r="D35" s="60"/>
      <c r="E35" s="69"/>
      <c r="F35" s="185"/>
      <c r="G35" s="185"/>
      <c r="H35" s="184"/>
      <c r="I35" s="186"/>
      <c r="J35" s="184"/>
      <c r="K35" s="186"/>
      <c r="L35" s="184"/>
      <c r="M35" s="186"/>
      <c r="N35" s="184"/>
      <c r="O35" s="183"/>
      <c r="P35" s="184"/>
      <c r="Q35" s="180">
        <f t="shared" si="10"/>
        <v>0</v>
      </c>
      <c r="R35" s="181">
        <f t="shared" si="11"/>
        <v>0</v>
      </c>
      <c r="S35" s="182" t="e">
        <f t="shared" si="12"/>
        <v>#DIV/0!</v>
      </c>
      <c r="T35" s="182" t="b">
        <f t="shared" si="13"/>
        <v>0</v>
      </c>
      <c r="U35" s="187"/>
      <c r="V35" s="161"/>
      <c r="W35" s="162"/>
      <c r="X35" s="169"/>
      <c r="Y35" s="169"/>
      <c r="Z35" s="22" t="b">
        <f t="shared" si="14"/>
        <v>0</v>
      </c>
      <c r="AA35" s="74">
        <f t="shared" si="15"/>
        <v>0</v>
      </c>
      <c r="AB35" s="155"/>
      <c r="AC35" s="175"/>
      <c r="AD35" s="180">
        <f t="shared" si="16"/>
        <v>9950</v>
      </c>
      <c r="AE35" s="59" t="str">
        <f t="shared" si="8"/>
        <v/>
      </c>
      <c r="AF35" s="137"/>
      <c r="AG35" s="137"/>
      <c r="AH35" s="137"/>
      <c r="AI35" s="137"/>
      <c r="AJ35" s="137"/>
      <c r="AK35" s="138"/>
    </row>
    <row r="36" spans="1:37">
      <c r="A36" s="60"/>
      <c r="B36" s="61"/>
      <c r="C36" s="63"/>
      <c r="D36" s="60"/>
      <c r="E36" s="69"/>
      <c r="F36" s="185"/>
      <c r="G36" s="185"/>
      <c r="H36" s="184"/>
      <c r="I36" s="186"/>
      <c r="J36" s="184"/>
      <c r="K36" s="186"/>
      <c r="L36" s="184"/>
      <c r="M36" s="186"/>
      <c r="N36" s="184"/>
      <c r="O36" s="183"/>
      <c r="P36" s="184"/>
      <c r="Q36" s="180">
        <f t="shared" si="10"/>
        <v>0</v>
      </c>
      <c r="R36" s="181">
        <f t="shared" si="11"/>
        <v>0</v>
      </c>
      <c r="S36" s="182" t="e">
        <f t="shared" si="12"/>
        <v>#DIV/0!</v>
      </c>
      <c r="T36" s="182" t="b">
        <f t="shared" si="13"/>
        <v>0</v>
      </c>
      <c r="U36" s="187"/>
      <c r="V36" s="161"/>
      <c r="W36" s="162"/>
      <c r="X36" s="169"/>
      <c r="Y36" s="169"/>
      <c r="Z36" s="22" t="b">
        <f t="shared" si="14"/>
        <v>0</v>
      </c>
      <c r="AA36" s="74">
        <f t="shared" si="15"/>
        <v>0</v>
      </c>
      <c r="AB36" s="155"/>
      <c r="AC36" s="175"/>
      <c r="AD36" s="180">
        <f t="shared" si="16"/>
        <v>9950</v>
      </c>
      <c r="AE36" s="59" t="str">
        <f t="shared" si="8"/>
        <v/>
      </c>
      <c r="AF36" s="137"/>
      <c r="AG36" s="137"/>
      <c r="AH36" s="137"/>
      <c r="AI36" s="137"/>
      <c r="AJ36" s="137"/>
      <c r="AK36" s="138"/>
    </row>
    <row r="37" spans="1:37">
      <c r="A37" s="60"/>
      <c r="B37" s="61"/>
      <c r="C37" s="63"/>
      <c r="D37" s="60"/>
      <c r="E37" s="69"/>
      <c r="F37" s="185"/>
      <c r="G37" s="185"/>
      <c r="H37" s="184"/>
      <c r="I37" s="186"/>
      <c r="J37" s="184"/>
      <c r="K37" s="186"/>
      <c r="L37" s="184"/>
      <c r="M37" s="186"/>
      <c r="N37" s="184"/>
      <c r="O37" s="183"/>
      <c r="P37" s="184"/>
      <c r="Q37" s="180">
        <f t="shared" si="10"/>
        <v>0</v>
      </c>
      <c r="R37" s="181">
        <f t="shared" si="11"/>
        <v>0</v>
      </c>
      <c r="S37" s="182" t="e">
        <f t="shared" si="12"/>
        <v>#DIV/0!</v>
      </c>
      <c r="T37" s="182" t="b">
        <f t="shared" si="13"/>
        <v>0</v>
      </c>
      <c r="U37" s="187"/>
      <c r="V37" s="161"/>
      <c r="W37" s="162"/>
      <c r="X37" s="169"/>
      <c r="Y37" s="169"/>
      <c r="Z37" s="22" t="b">
        <f t="shared" si="14"/>
        <v>0</v>
      </c>
      <c r="AA37" s="74">
        <f t="shared" si="15"/>
        <v>0</v>
      </c>
      <c r="AB37" s="155"/>
      <c r="AC37" s="175"/>
      <c r="AD37" s="180">
        <f t="shared" si="16"/>
        <v>9950</v>
      </c>
      <c r="AE37" s="59" t="str">
        <f t="shared" si="8"/>
        <v/>
      </c>
      <c r="AF37" s="137"/>
      <c r="AG37" s="137"/>
      <c r="AH37" s="137"/>
      <c r="AI37" s="137"/>
      <c r="AJ37" s="137"/>
      <c r="AK37" s="138"/>
    </row>
    <row r="38" spans="1:37">
      <c r="A38" s="60"/>
      <c r="B38" s="61"/>
      <c r="C38" s="63"/>
      <c r="D38" s="60"/>
      <c r="E38" s="69"/>
      <c r="F38" s="185"/>
      <c r="G38" s="185"/>
      <c r="H38" s="184"/>
      <c r="I38" s="186"/>
      <c r="J38" s="184"/>
      <c r="K38" s="186"/>
      <c r="L38" s="184"/>
      <c r="M38" s="186"/>
      <c r="N38" s="184"/>
      <c r="O38" s="183"/>
      <c r="P38" s="184"/>
      <c r="Q38" s="180">
        <f t="shared" si="10"/>
        <v>0</v>
      </c>
      <c r="R38" s="181">
        <f t="shared" si="11"/>
        <v>0</v>
      </c>
      <c r="S38" s="182" t="e">
        <f t="shared" si="12"/>
        <v>#DIV/0!</v>
      </c>
      <c r="T38" s="182" t="b">
        <f t="shared" si="13"/>
        <v>0</v>
      </c>
      <c r="U38" s="187"/>
      <c r="V38" s="161"/>
      <c r="W38" s="162"/>
      <c r="X38" s="169"/>
      <c r="Y38" s="169"/>
      <c r="Z38" s="22" t="b">
        <f t="shared" si="14"/>
        <v>0</v>
      </c>
      <c r="AA38" s="74">
        <f t="shared" si="15"/>
        <v>0</v>
      </c>
      <c r="AB38" s="155"/>
      <c r="AC38" s="175"/>
      <c r="AD38" s="180">
        <f t="shared" si="16"/>
        <v>9950</v>
      </c>
      <c r="AE38" s="59" t="str">
        <f t="shared" si="8"/>
        <v/>
      </c>
      <c r="AF38" s="137"/>
      <c r="AG38" s="137"/>
      <c r="AH38" s="137"/>
      <c r="AI38" s="137"/>
      <c r="AJ38" s="137"/>
      <c r="AK38" s="138"/>
    </row>
    <row r="39" spans="1:37">
      <c r="A39" s="60"/>
      <c r="B39" s="61"/>
      <c r="C39" s="63"/>
      <c r="D39" s="60"/>
      <c r="E39" s="69"/>
      <c r="F39" s="185"/>
      <c r="G39" s="185"/>
      <c r="H39" s="184"/>
      <c r="I39" s="186"/>
      <c r="J39" s="184"/>
      <c r="K39" s="186"/>
      <c r="L39" s="184"/>
      <c r="M39" s="186"/>
      <c r="N39" s="184"/>
      <c r="O39" s="183"/>
      <c r="P39" s="184"/>
      <c r="Q39" s="180">
        <f t="shared" si="10"/>
        <v>0</v>
      </c>
      <c r="R39" s="181">
        <f t="shared" si="11"/>
        <v>0</v>
      </c>
      <c r="S39" s="182" t="e">
        <f t="shared" si="12"/>
        <v>#DIV/0!</v>
      </c>
      <c r="T39" s="182" t="b">
        <f t="shared" si="13"/>
        <v>0</v>
      </c>
      <c r="U39" s="187"/>
      <c r="V39" s="161"/>
      <c r="W39" s="162"/>
      <c r="X39" s="169"/>
      <c r="Y39" s="169"/>
      <c r="Z39" s="22" t="b">
        <f t="shared" si="14"/>
        <v>0</v>
      </c>
      <c r="AA39" s="74">
        <f t="shared" si="15"/>
        <v>0</v>
      </c>
      <c r="AB39" s="155"/>
      <c r="AC39" s="175"/>
      <c r="AD39" s="180">
        <f t="shared" si="16"/>
        <v>9950</v>
      </c>
      <c r="AE39" s="59" t="str">
        <f t="shared" si="8"/>
        <v/>
      </c>
      <c r="AF39" s="137"/>
      <c r="AG39" s="137"/>
      <c r="AH39" s="137"/>
      <c r="AI39" s="137"/>
      <c r="AJ39" s="137"/>
      <c r="AK39" s="138"/>
    </row>
    <row r="40" spans="1:37">
      <c r="A40" s="60"/>
      <c r="B40" s="61"/>
      <c r="C40" s="63"/>
      <c r="D40" s="60"/>
      <c r="E40" s="69"/>
      <c r="F40" s="185"/>
      <c r="G40" s="185"/>
      <c r="H40" s="184"/>
      <c r="I40" s="186"/>
      <c r="J40" s="184"/>
      <c r="K40" s="186"/>
      <c r="L40" s="184"/>
      <c r="M40" s="186"/>
      <c r="N40" s="184"/>
      <c r="O40" s="183"/>
      <c r="P40" s="184"/>
      <c r="Q40" s="180">
        <f t="shared" si="10"/>
        <v>0</v>
      </c>
      <c r="R40" s="181">
        <f t="shared" si="11"/>
        <v>0</v>
      </c>
      <c r="S40" s="182" t="e">
        <f t="shared" si="12"/>
        <v>#DIV/0!</v>
      </c>
      <c r="T40" s="182" t="b">
        <f t="shared" si="13"/>
        <v>0</v>
      </c>
      <c r="U40" s="187"/>
      <c r="V40" s="161"/>
      <c r="W40" s="162"/>
      <c r="X40" s="169"/>
      <c r="Y40" s="169"/>
      <c r="Z40" s="22" t="b">
        <f t="shared" si="14"/>
        <v>0</v>
      </c>
      <c r="AA40" s="74">
        <f t="shared" si="15"/>
        <v>0</v>
      </c>
      <c r="AB40" s="155"/>
      <c r="AC40" s="175"/>
      <c r="AD40" s="180">
        <f t="shared" si="16"/>
        <v>9950</v>
      </c>
      <c r="AE40" s="59" t="str">
        <f t="shared" si="8"/>
        <v/>
      </c>
      <c r="AF40" s="137"/>
      <c r="AG40" s="137"/>
      <c r="AH40" s="137"/>
      <c r="AI40" s="137"/>
      <c r="AJ40" s="137"/>
      <c r="AK40" s="138"/>
    </row>
    <row r="41" spans="1:37">
      <c r="A41" s="60"/>
      <c r="B41" s="61"/>
      <c r="C41" s="63"/>
      <c r="D41" s="60"/>
      <c r="E41" s="69"/>
      <c r="F41" s="185"/>
      <c r="G41" s="185"/>
      <c r="H41" s="184"/>
      <c r="I41" s="186"/>
      <c r="J41" s="184"/>
      <c r="K41" s="186"/>
      <c r="L41" s="184"/>
      <c r="M41" s="186"/>
      <c r="N41" s="184"/>
      <c r="O41" s="183"/>
      <c r="P41" s="184"/>
      <c r="Q41" s="180">
        <f t="shared" si="10"/>
        <v>0</v>
      </c>
      <c r="R41" s="181">
        <f t="shared" si="11"/>
        <v>0</v>
      </c>
      <c r="S41" s="182" t="e">
        <f t="shared" si="12"/>
        <v>#DIV/0!</v>
      </c>
      <c r="T41" s="182" t="b">
        <f t="shared" si="13"/>
        <v>0</v>
      </c>
      <c r="U41" s="187"/>
      <c r="V41" s="161"/>
      <c r="W41" s="162"/>
      <c r="X41" s="169"/>
      <c r="Y41" s="169"/>
      <c r="Z41" s="22" t="b">
        <f t="shared" si="14"/>
        <v>0</v>
      </c>
      <c r="AA41" s="74">
        <f t="shared" si="15"/>
        <v>0</v>
      </c>
      <c r="AB41" s="155"/>
      <c r="AC41" s="175"/>
      <c r="AD41" s="180">
        <f t="shared" si="16"/>
        <v>9950</v>
      </c>
      <c r="AE41" s="59" t="str">
        <f t="shared" si="8"/>
        <v/>
      </c>
      <c r="AF41" s="137"/>
      <c r="AG41" s="137"/>
      <c r="AH41" s="137"/>
      <c r="AI41" s="137"/>
      <c r="AJ41" s="137"/>
      <c r="AK41" s="138"/>
    </row>
    <row r="42" spans="1:37">
      <c r="A42" s="60"/>
      <c r="B42" s="61"/>
      <c r="C42" s="63"/>
      <c r="D42" s="60"/>
      <c r="E42" s="69"/>
      <c r="F42" s="185"/>
      <c r="G42" s="185"/>
      <c r="H42" s="184"/>
      <c r="I42" s="186"/>
      <c r="J42" s="184"/>
      <c r="K42" s="186"/>
      <c r="L42" s="184"/>
      <c r="M42" s="186"/>
      <c r="N42" s="184"/>
      <c r="O42" s="183"/>
      <c r="P42" s="184"/>
      <c r="Q42" s="180">
        <f t="shared" si="10"/>
        <v>0</v>
      </c>
      <c r="R42" s="181">
        <f t="shared" si="11"/>
        <v>0</v>
      </c>
      <c r="S42" s="182" t="e">
        <f t="shared" si="12"/>
        <v>#DIV/0!</v>
      </c>
      <c r="T42" s="182" t="b">
        <f t="shared" si="13"/>
        <v>0</v>
      </c>
      <c r="U42" s="187"/>
      <c r="V42" s="161"/>
      <c r="W42" s="162"/>
      <c r="X42" s="169"/>
      <c r="Y42" s="169"/>
      <c r="Z42" s="22" t="b">
        <f t="shared" si="14"/>
        <v>0</v>
      </c>
      <c r="AA42" s="74">
        <f t="shared" si="15"/>
        <v>0</v>
      </c>
      <c r="AB42" s="155"/>
      <c r="AC42" s="175"/>
      <c r="AD42" s="180">
        <f t="shared" si="16"/>
        <v>9950</v>
      </c>
      <c r="AE42" s="59" t="str">
        <f t="shared" si="8"/>
        <v/>
      </c>
      <c r="AF42" s="137"/>
      <c r="AG42" s="137"/>
      <c r="AH42" s="137"/>
      <c r="AI42" s="137"/>
      <c r="AJ42" s="137"/>
      <c r="AK42" s="138"/>
    </row>
    <row r="43" spans="1:37">
      <c r="A43" s="60"/>
      <c r="B43" s="61"/>
      <c r="C43" s="63"/>
      <c r="D43" s="60"/>
      <c r="E43" s="69"/>
      <c r="F43" s="185"/>
      <c r="G43" s="185"/>
      <c r="H43" s="184"/>
      <c r="I43" s="186"/>
      <c r="J43" s="184"/>
      <c r="K43" s="186"/>
      <c r="L43" s="184"/>
      <c r="M43" s="186"/>
      <c r="N43" s="184"/>
      <c r="O43" s="183"/>
      <c r="P43" s="184"/>
      <c r="Q43" s="180">
        <f t="shared" si="10"/>
        <v>0</v>
      </c>
      <c r="R43" s="181">
        <f t="shared" si="11"/>
        <v>0</v>
      </c>
      <c r="S43" s="182" t="e">
        <f t="shared" si="12"/>
        <v>#DIV/0!</v>
      </c>
      <c r="T43" s="182" t="b">
        <f t="shared" si="13"/>
        <v>0</v>
      </c>
      <c r="U43" s="187"/>
      <c r="V43" s="161"/>
      <c r="W43" s="162"/>
      <c r="X43" s="169"/>
      <c r="Y43" s="169"/>
      <c r="Z43" s="22" t="b">
        <f t="shared" si="14"/>
        <v>0</v>
      </c>
      <c r="AA43" s="74">
        <f t="shared" si="15"/>
        <v>0</v>
      </c>
      <c r="AB43" s="155"/>
      <c r="AC43" s="175"/>
      <c r="AD43" s="180">
        <f t="shared" si="16"/>
        <v>9950</v>
      </c>
      <c r="AE43" s="59" t="str">
        <f t="shared" si="8"/>
        <v/>
      </c>
      <c r="AF43" s="137"/>
      <c r="AG43" s="137"/>
      <c r="AH43" s="137"/>
      <c r="AI43" s="137"/>
      <c r="AJ43" s="137"/>
      <c r="AK43" s="138"/>
    </row>
    <row r="44" spans="1:37">
      <c r="A44" s="60"/>
      <c r="B44" s="61"/>
      <c r="C44" s="63"/>
      <c r="D44" s="60"/>
      <c r="E44" s="69"/>
      <c r="F44" s="185"/>
      <c r="G44" s="185"/>
      <c r="H44" s="184"/>
      <c r="I44" s="186"/>
      <c r="J44" s="184"/>
      <c r="K44" s="186"/>
      <c r="L44" s="184"/>
      <c r="M44" s="186"/>
      <c r="N44" s="184"/>
      <c r="O44" s="183"/>
      <c r="P44" s="184"/>
      <c r="Q44" s="180">
        <f t="shared" si="10"/>
        <v>0</v>
      </c>
      <c r="R44" s="181">
        <f t="shared" si="11"/>
        <v>0</v>
      </c>
      <c r="S44" s="182" t="e">
        <f t="shared" si="12"/>
        <v>#DIV/0!</v>
      </c>
      <c r="T44" s="182" t="b">
        <f t="shared" si="13"/>
        <v>0</v>
      </c>
      <c r="U44" s="187"/>
      <c r="V44" s="161"/>
      <c r="W44" s="162"/>
      <c r="X44" s="169"/>
      <c r="Y44" s="169"/>
      <c r="Z44" s="22" t="b">
        <f t="shared" si="14"/>
        <v>0</v>
      </c>
      <c r="AA44" s="74">
        <f t="shared" si="15"/>
        <v>0</v>
      </c>
      <c r="AB44" s="155"/>
      <c r="AC44" s="175"/>
      <c r="AD44" s="180">
        <f t="shared" si="16"/>
        <v>9950</v>
      </c>
      <c r="AE44" s="59" t="str">
        <f t="shared" si="8"/>
        <v/>
      </c>
      <c r="AF44" s="137"/>
      <c r="AG44" s="137"/>
      <c r="AH44" s="137"/>
      <c r="AI44" s="137"/>
      <c r="AJ44" s="137"/>
      <c r="AK44" s="138"/>
    </row>
    <row r="45" spans="1:37">
      <c r="A45" s="60"/>
      <c r="B45" s="61"/>
      <c r="C45" s="63"/>
      <c r="D45" s="60"/>
      <c r="E45" s="69"/>
      <c r="F45" s="185"/>
      <c r="G45" s="185"/>
      <c r="H45" s="184"/>
      <c r="I45" s="186"/>
      <c r="J45" s="184"/>
      <c r="K45" s="186"/>
      <c r="L45" s="184"/>
      <c r="M45" s="186"/>
      <c r="N45" s="184"/>
      <c r="O45" s="183"/>
      <c r="P45" s="184"/>
      <c r="Q45" s="180">
        <f t="shared" si="10"/>
        <v>0</v>
      </c>
      <c r="R45" s="181">
        <f t="shared" si="11"/>
        <v>0</v>
      </c>
      <c r="S45" s="182" t="e">
        <f t="shared" si="12"/>
        <v>#DIV/0!</v>
      </c>
      <c r="T45" s="182" t="b">
        <f t="shared" si="13"/>
        <v>0</v>
      </c>
      <c r="U45" s="187"/>
      <c r="V45" s="161"/>
      <c r="W45" s="162"/>
      <c r="X45" s="169"/>
      <c r="Y45" s="169"/>
      <c r="Z45" s="22" t="b">
        <f t="shared" si="14"/>
        <v>0</v>
      </c>
      <c r="AA45" s="74">
        <f t="shared" si="15"/>
        <v>0</v>
      </c>
      <c r="AB45" s="155"/>
      <c r="AC45" s="175"/>
      <c r="AD45" s="180">
        <f t="shared" si="16"/>
        <v>9950</v>
      </c>
      <c r="AE45" s="59" t="str">
        <f t="shared" si="8"/>
        <v/>
      </c>
      <c r="AF45" s="137"/>
      <c r="AG45" s="137"/>
      <c r="AH45" s="137"/>
      <c r="AI45" s="137"/>
      <c r="AJ45" s="137"/>
      <c r="AK45" s="138"/>
    </row>
    <row r="46" spans="1:37">
      <c r="A46" s="60"/>
      <c r="B46" s="61"/>
      <c r="C46" s="63"/>
      <c r="D46" s="60"/>
      <c r="E46" s="69"/>
      <c r="F46" s="185"/>
      <c r="G46" s="185"/>
      <c r="H46" s="184"/>
      <c r="I46" s="186"/>
      <c r="J46" s="184"/>
      <c r="K46" s="186"/>
      <c r="L46" s="184"/>
      <c r="M46" s="186"/>
      <c r="N46" s="184"/>
      <c r="O46" s="183"/>
      <c r="P46" s="184"/>
      <c r="Q46" s="180">
        <f t="shared" si="10"/>
        <v>0</v>
      </c>
      <c r="R46" s="181">
        <f t="shared" si="11"/>
        <v>0</v>
      </c>
      <c r="S46" s="182" t="e">
        <f t="shared" si="12"/>
        <v>#DIV/0!</v>
      </c>
      <c r="T46" s="182" t="b">
        <f t="shared" si="13"/>
        <v>0</v>
      </c>
      <c r="U46" s="187"/>
      <c r="V46" s="161"/>
      <c r="W46" s="162"/>
      <c r="X46" s="169"/>
      <c r="Y46" s="169"/>
      <c r="Z46" s="22" t="b">
        <f t="shared" si="14"/>
        <v>0</v>
      </c>
      <c r="AA46" s="74">
        <f t="shared" si="15"/>
        <v>0</v>
      </c>
      <c r="AB46" s="155"/>
      <c r="AC46" s="175"/>
      <c r="AD46" s="180">
        <f t="shared" si="16"/>
        <v>9950</v>
      </c>
      <c r="AE46" s="59" t="str">
        <f t="shared" si="8"/>
        <v/>
      </c>
      <c r="AF46" s="137"/>
      <c r="AG46" s="137"/>
      <c r="AH46" s="137"/>
      <c r="AI46" s="137"/>
      <c r="AJ46" s="137"/>
      <c r="AK46" s="138"/>
    </row>
    <row r="47" spans="1:37">
      <c r="A47" s="60"/>
      <c r="B47" s="61"/>
      <c r="C47" s="63"/>
      <c r="D47" s="60"/>
      <c r="E47" s="69"/>
      <c r="F47" s="185"/>
      <c r="G47" s="185"/>
      <c r="H47" s="184"/>
      <c r="I47" s="186"/>
      <c r="J47" s="184"/>
      <c r="K47" s="186"/>
      <c r="L47" s="184"/>
      <c r="M47" s="186"/>
      <c r="N47" s="184"/>
      <c r="O47" s="183"/>
      <c r="P47" s="184"/>
      <c r="Q47" s="180">
        <f t="shared" si="10"/>
        <v>0</v>
      </c>
      <c r="R47" s="181">
        <f t="shared" si="11"/>
        <v>0</v>
      </c>
      <c r="S47" s="182" t="e">
        <f t="shared" si="12"/>
        <v>#DIV/0!</v>
      </c>
      <c r="T47" s="182" t="b">
        <f t="shared" si="13"/>
        <v>0</v>
      </c>
      <c r="U47" s="187"/>
      <c r="V47" s="161"/>
      <c r="W47" s="162"/>
      <c r="X47" s="169"/>
      <c r="Y47" s="169"/>
      <c r="Z47" s="22" t="b">
        <f t="shared" si="14"/>
        <v>0</v>
      </c>
      <c r="AA47" s="74">
        <f t="shared" si="15"/>
        <v>0</v>
      </c>
      <c r="AB47" s="155"/>
      <c r="AC47" s="175"/>
      <c r="AD47" s="180">
        <f t="shared" si="16"/>
        <v>9950</v>
      </c>
      <c r="AE47" s="59" t="str">
        <f t="shared" si="8"/>
        <v/>
      </c>
      <c r="AF47" s="137"/>
      <c r="AG47" s="137"/>
      <c r="AH47" s="137"/>
      <c r="AI47" s="137"/>
      <c r="AJ47" s="137"/>
      <c r="AK47" s="138"/>
    </row>
    <row r="48" spans="1:37">
      <c r="A48" s="60"/>
      <c r="B48" s="61"/>
      <c r="C48" s="63"/>
      <c r="D48" s="60"/>
      <c r="E48" s="69"/>
      <c r="F48" s="185"/>
      <c r="G48" s="185"/>
      <c r="H48" s="184"/>
      <c r="I48" s="186"/>
      <c r="J48" s="184"/>
      <c r="K48" s="186"/>
      <c r="L48" s="184"/>
      <c r="M48" s="186"/>
      <c r="N48" s="184"/>
      <c r="O48" s="183"/>
      <c r="P48" s="184"/>
      <c r="Q48" s="180">
        <f t="shared" si="10"/>
        <v>0</v>
      </c>
      <c r="R48" s="181">
        <f t="shared" si="11"/>
        <v>0</v>
      </c>
      <c r="S48" s="182" t="e">
        <f t="shared" si="12"/>
        <v>#DIV/0!</v>
      </c>
      <c r="T48" s="182" t="b">
        <f t="shared" si="13"/>
        <v>0</v>
      </c>
      <c r="U48" s="187"/>
      <c r="V48" s="161"/>
      <c r="W48" s="162"/>
      <c r="X48" s="169"/>
      <c r="Y48" s="169"/>
      <c r="Z48" s="22" t="b">
        <f t="shared" si="14"/>
        <v>0</v>
      </c>
      <c r="AA48" s="74">
        <f t="shared" si="15"/>
        <v>0</v>
      </c>
      <c r="AB48" s="155"/>
      <c r="AC48" s="175"/>
      <c r="AD48" s="180">
        <f t="shared" si="16"/>
        <v>9950</v>
      </c>
      <c r="AE48" s="59" t="str">
        <f t="shared" si="8"/>
        <v/>
      </c>
      <c r="AF48" s="137"/>
      <c r="AG48" s="137"/>
      <c r="AH48" s="137"/>
      <c r="AI48" s="137"/>
      <c r="AJ48" s="137"/>
      <c r="AK48" s="138"/>
    </row>
    <row r="49" spans="1:37">
      <c r="A49" s="60"/>
      <c r="B49" s="61"/>
      <c r="C49" s="63"/>
      <c r="D49" s="60"/>
      <c r="E49" s="69"/>
      <c r="F49" s="185"/>
      <c r="G49" s="185"/>
      <c r="H49" s="184"/>
      <c r="I49" s="186"/>
      <c r="J49" s="184"/>
      <c r="K49" s="186"/>
      <c r="L49" s="184"/>
      <c r="M49" s="186"/>
      <c r="N49" s="184"/>
      <c r="O49" s="183"/>
      <c r="P49" s="184"/>
      <c r="Q49" s="180">
        <f t="shared" si="10"/>
        <v>0</v>
      </c>
      <c r="R49" s="181">
        <f t="shared" si="11"/>
        <v>0</v>
      </c>
      <c r="S49" s="182" t="e">
        <f t="shared" si="12"/>
        <v>#DIV/0!</v>
      </c>
      <c r="T49" s="182" t="b">
        <f t="shared" si="13"/>
        <v>0</v>
      </c>
      <c r="U49" s="187"/>
      <c r="V49" s="161"/>
      <c r="W49" s="162"/>
      <c r="X49" s="169"/>
      <c r="Y49" s="169"/>
      <c r="Z49" s="22" t="b">
        <f t="shared" si="14"/>
        <v>0</v>
      </c>
      <c r="AA49" s="74">
        <f t="shared" si="15"/>
        <v>0</v>
      </c>
      <c r="AB49" s="155"/>
      <c r="AC49" s="175"/>
      <c r="AD49" s="180">
        <f t="shared" si="16"/>
        <v>9950</v>
      </c>
      <c r="AE49" s="59" t="str">
        <f t="shared" si="8"/>
        <v/>
      </c>
      <c r="AF49" s="137"/>
      <c r="AG49" s="137"/>
      <c r="AH49" s="137"/>
      <c r="AI49" s="137"/>
      <c r="AJ49" s="137"/>
      <c r="AK49" s="138"/>
    </row>
    <row r="50" spans="1:37">
      <c r="A50" s="60"/>
      <c r="B50" s="61"/>
      <c r="C50" s="63"/>
      <c r="D50" s="60"/>
      <c r="E50" s="69"/>
      <c r="F50" s="185"/>
      <c r="G50" s="185"/>
      <c r="H50" s="184"/>
      <c r="I50" s="186"/>
      <c r="J50" s="184"/>
      <c r="K50" s="186"/>
      <c r="L50" s="184"/>
      <c r="M50" s="186"/>
      <c r="N50" s="184"/>
      <c r="O50" s="183"/>
      <c r="P50" s="184"/>
      <c r="Q50" s="180">
        <f t="shared" si="10"/>
        <v>0</v>
      </c>
      <c r="R50" s="181">
        <f t="shared" si="11"/>
        <v>0</v>
      </c>
      <c r="S50" s="182" t="e">
        <f t="shared" si="12"/>
        <v>#DIV/0!</v>
      </c>
      <c r="T50" s="182" t="b">
        <f t="shared" si="13"/>
        <v>0</v>
      </c>
      <c r="U50" s="187"/>
      <c r="V50" s="161"/>
      <c r="W50" s="162"/>
      <c r="X50" s="169"/>
      <c r="Y50" s="169"/>
      <c r="Z50" s="22" t="b">
        <f t="shared" si="14"/>
        <v>0</v>
      </c>
      <c r="AA50" s="74">
        <f t="shared" si="15"/>
        <v>0</v>
      </c>
      <c r="AB50" s="155"/>
      <c r="AC50" s="175"/>
      <c r="AD50" s="180">
        <f t="shared" si="16"/>
        <v>9950</v>
      </c>
      <c r="AE50" s="59" t="str">
        <f t="shared" si="8"/>
        <v/>
      </c>
      <c r="AF50" s="137"/>
      <c r="AG50" s="137"/>
      <c r="AH50" s="137"/>
      <c r="AI50" s="137"/>
      <c r="AJ50" s="137"/>
      <c r="AK50" s="138"/>
    </row>
    <row r="51" spans="1:37">
      <c r="A51" s="60"/>
      <c r="B51" s="61"/>
      <c r="C51" s="63"/>
      <c r="D51" s="60"/>
      <c r="E51" s="69"/>
      <c r="F51" s="185"/>
      <c r="G51" s="185"/>
      <c r="H51" s="184"/>
      <c r="I51" s="186"/>
      <c r="J51" s="184"/>
      <c r="K51" s="186"/>
      <c r="L51" s="184"/>
      <c r="M51" s="186"/>
      <c r="N51" s="184"/>
      <c r="O51" s="183"/>
      <c r="P51" s="184"/>
      <c r="Q51" s="180">
        <f t="shared" si="10"/>
        <v>0</v>
      </c>
      <c r="R51" s="181">
        <f t="shared" si="11"/>
        <v>0</v>
      </c>
      <c r="S51" s="182" t="e">
        <f t="shared" si="12"/>
        <v>#DIV/0!</v>
      </c>
      <c r="T51" s="182" t="b">
        <f t="shared" si="13"/>
        <v>0</v>
      </c>
      <c r="U51" s="187"/>
      <c r="V51" s="161"/>
      <c r="W51" s="162"/>
      <c r="X51" s="169"/>
      <c r="Y51" s="169"/>
      <c r="Z51" s="22" t="b">
        <f t="shared" si="14"/>
        <v>0</v>
      </c>
      <c r="AA51" s="74">
        <f t="shared" si="15"/>
        <v>0</v>
      </c>
      <c r="AB51" s="155"/>
      <c r="AC51" s="175"/>
      <c r="AD51" s="180">
        <f t="shared" si="16"/>
        <v>9950</v>
      </c>
      <c r="AE51" s="59" t="str">
        <f t="shared" si="8"/>
        <v/>
      </c>
      <c r="AF51" s="137"/>
      <c r="AG51" s="137"/>
      <c r="AH51" s="137"/>
      <c r="AI51" s="137"/>
      <c r="AJ51" s="137"/>
      <c r="AK51" s="138"/>
    </row>
    <row r="52" spans="1:37">
      <c r="A52" s="60"/>
      <c r="B52" s="61"/>
      <c r="C52" s="63"/>
      <c r="D52" s="60"/>
      <c r="E52" s="69"/>
      <c r="F52" s="185"/>
      <c r="G52" s="185"/>
      <c r="H52" s="184"/>
      <c r="I52" s="186"/>
      <c r="J52" s="184"/>
      <c r="K52" s="186"/>
      <c r="L52" s="184"/>
      <c r="M52" s="186"/>
      <c r="N52" s="184"/>
      <c r="O52" s="183"/>
      <c r="P52" s="184"/>
      <c r="Q52" s="180">
        <f t="shared" si="10"/>
        <v>0</v>
      </c>
      <c r="R52" s="181">
        <f t="shared" si="11"/>
        <v>0</v>
      </c>
      <c r="S52" s="182" t="e">
        <f t="shared" si="12"/>
        <v>#DIV/0!</v>
      </c>
      <c r="T52" s="182" t="b">
        <f t="shared" si="13"/>
        <v>0</v>
      </c>
      <c r="U52" s="187"/>
      <c r="V52" s="161"/>
      <c r="W52" s="162"/>
      <c r="X52" s="169"/>
      <c r="Y52" s="169"/>
      <c r="Z52" s="22" t="b">
        <f t="shared" si="14"/>
        <v>0</v>
      </c>
      <c r="AA52" s="74">
        <f t="shared" si="15"/>
        <v>0</v>
      </c>
      <c r="AB52" s="155"/>
      <c r="AC52" s="175"/>
      <c r="AD52" s="180">
        <f t="shared" si="16"/>
        <v>9950</v>
      </c>
      <c r="AE52" s="59" t="str">
        <f t="shared" si="8"/>
        <v/>
      </c>
      <c r="AF52" s="137"/>
      <c r="AG52" s="137"/>
      <c r="AH52" s="137"/>
      <c r="AI52" s="137"/>
      <c r="AJ52" s="137"/>
      <c r="AK52" s="138"/>
    </row>
    <row r="53" spans="1:37">
      <c r="A53" s="60"/>
      <c r="B53" s="61"/>
      <c r="C53" s="63"/>
      <c r="D53" s="60"/>
      <c r="E53" s="69"/>
      <c r="F53" s="185"/>
      <c r="G53" s="185"/>
      <c r="H53" s="184"/>
      <c r="I53" s="186"/>
      <c r="J53" s="184"/>
      <c r="K53" s="186"/>
      <c r="L53" s="184"/>
      <c r="M53" s="186"/>
      <c r="N53" s="184"/>
      <c r="O53" s="183"/>
      <c r="P53" s="184"/>
      <c r="Q53" s="180">
        <f t="shared" si="10"/>
        <v>0</v>
      </c>
      <c r="R53" s="181">
        <f t="shared" si="11"/>
        <v>0</v>
      </c>
      <c r="S53" s="182" t="e">
        <f t="shared" si="12"/>
        <v>#DIV/0!</v>
      </c>
      <c r="T53" s="182" t="b">
        <f t="shared" si="13"/>
        <v>0</v>
      </c>
      <c r="U53" s="187"/>
      <c r="V53" s="161"/>
      <c r="W53" s="162"/>
      <c r="X53" s="169"/>
      <c r="Y53" s="169"/>
      <c r="Z53" s="22" t="b">
        <f t="shared" si="14"/>
        <v>0</v>
      </c>
      <c r="AA53" s="74">
        <f t="shared" si="15"/>
        <v>0</v>
      </c>
      <c r="AB53" s="155"/>
      <c r="AC53" s="175"/>
      <c r="AD53" s="180">
        <f t="shared" si="16"/>
        <v>9950</v>
      </c>
      <c r="AE53" s="59" t="str">
        <f t="shared" si="8"/>
        <v/>
      </c>
      <c r="AF53" s="137"/>
      <c r="AG53" s="137"/>
      <c r="AH53" s="137"/>
      <c r="AI53" s="137"/>
      <c r="AJ53" s="137"/>
      <c r="AK53" s="138"/>
    </row>
    <row r="54" spans="1:37">
      <c r="A54" s="60"/>
      <c r="B54" s="61"/>
      <c r="C54" s="63"/>
      <c r="D54" s="60"/>
      <c r="E54" s="69"/>
      <c r="F54" s="185"/>
      <c r="G54" s="185"/>
      <c r="H54" s="184"/>
      <c r="I54" s="186"/>
      <c r="J54" s="184"/>
      <c r="K54" s="186"/>
      <c r="L54" s="184"/>
      <c r="M54" s="186"/>
      <c r="N54" s="184"/>
      <c r="O54" s="183"/>
      <c r="P54" s="184"/>
      <c r="Q54" s="180">
        <f t="shared" si="10"/>
        <v>0</v>
      </c>
      <c r="R54" s="181">
        <f t="shared" si="11"/>
        <v>0</v>
      </c>
      <c r="S54" s="182" t="e">
        <f t="shared" si="12"/>
        <v>#DIV/0!</v>
      </c>
      <c r="T54" s="182" t="b">
        <f t="shared" si="13"/>
        <v>0</v>
      </c>
      <c r="U54" s="187"/>
      <c r="V54" s="161"/>
      <c r="W54" s="162"/>
      <c r="X54" s="169"/>
      <c r="Y54" s="169"/>
      <c r="Z54" s="22" t="b">
        <f t="shared" si="14"/>
        <v>0</v>
      </c>
      <c r="AA54" s="74">
        <f t="shared" si="15"/>
        <v>0</v>
      </c>
      <c r="AB54" s="155"/>
      <c r="AC54" s="175"/>
      <c r="AD54" s="180">
        <f t="shared" si="16"/>
        <v>9950</v>
      </c>
      <c r="AE54" s="59" t="str">
        <f t="shared" si="8"/>
        <v/>
      </c>
      <c r="AF54" s="137"/>
      <c r="AG54" s="137"/>
      <c r="AH54" s="137"/>
      <c r="AI54" s="137"/>
      <c r="AJ54" s="137"/>
      <c r="AK54" s="138"/>
    </row>
    <row r="55" spans="1:37">
      <c r="A55" s="60"/>
      <c r="B55" s="61"/>
      <c r="C55" s="63"/>
      <c r="D55" s="60"/>
      <c r="E55" s="69"/>
      <c r="F55" s="185"/>
      <c r="G55" s="185"/>
      <c r="H55" s="184"/>
      <c r="I55" s="186"/>
      <c r="J55" s="184"/>
      <c r="K55" s="186"/>
      <c r="L55" s="184"/>
      <c r="M55" s="186"/>
      <c r="N55" s="184"/>
      <c r="O55" s="183"/>
      <c r="P55" s="184"/>
      <c r="Q55" s="180">
        <f t="shared" si="10"/>
        <v>0</v>
      </c>
      <c r="R55" s="181">
        <f t="shared" si="11"/>
        <v>0</v>
      </c>
      <c r="S55" s="182" t="e">
        <f t="shared" si="12"/>
        <v>#DIV/0!</v>
      </c>
      <c r="T55" s="182" t="b">
        <f t="shared" si="13"/>
        <v>0</v>
      </c>
      <c r="U55" s="187"/>
      <c r="V55" s="161"/>
      <c r="W55" s="162"/>
      <c r="X55" s="169"/>
      <c r="Y55" s="169"/>
      <c r="Z55" s="22" t="b">
        <f t="shared" si="14"/>
        <v>0</v>
      </c>
      <c r="AA55" s="74">
        <f t="shared" si="15"/>
        <v>0</v>
      </c>
      <c r="AB55" s="155"/>
      <c r="AC55" s="175"/>
      <c r="AD55" s="180">
        <f t="shared" si="16"/>
        <v>9950</v>
      </c>
      <c r="AE55" s="59" t="str">
        <f t="shared" si="8"/>
        <v/>
      </c>
      <c r="AF55" s="137"/>
      <c r="AG55" s="137"/>
      <c r="AH55" s="137"/>
      <c r="AI55" s="137"/>
      <c r="AJ55" s="137"/>
      <c r="AK55" s="138"/>
    </row>
    <row r="56" spans="1:37">
      <c r="A56" s="60"/>
      <c r="B56" s="61"/>
      <c r="C56" s="63"/>
      <c r="D56" s="60"/>
      <c r="E56" s="69"/>
      <c r="F56" s="185"/>
      <c r="G56" s="185"/>
      <c r="H56" s="184"/>
      <c r="I56" s="186"/>
      <c r="J56" s="184"/>
      <c r="K56" s="186"/>
      <c r="L56" s="184"/>
      <c r="M56" s="186"/>
      <c r="N56" s="184"/>
      <c r="O56" s="183"/>
      <c r="P56" s="184"/>
      <c r="Q56" s="180">
        <f t="shared" si="10"/>
        <v>0</v>
      </c>
      <c r="R56" s="181">
        <f t="shared" si="11"/>
        <v>0</v>
      </c>
      <c r="S56" s="182" t="e">
        <f t="shared" si="12"/>
        <v>#DIV/0!</v>
      </c>
      <c r="T56" s="182" t="b">
        <f t="shared" si="13"/>
        <v>0</v>
      </c>
      <c r="U56" s="187"/>
      <c r="V56" s="161"/>
      <c r="W56" s="162"/>
      <c r="X56" s="169"/>
      <c r="Y56" s="169"/>
      <c r="Z56" s="22" t="b">
        <f t="shared" si="14"/>
        <v>0</v>
      </c>
      <c r="AA56" s="74">
        <f t="shared" si="15"/>
        <v>0</v>
      </c>
      <c r="AB56" s="155"/>
      <c r="AC56" s="175"/>
      <c r="AD56" s="180">
        <f t="shared" si="16"/>
        <v>9950</v>
      </c>
      <c r="AE56" s="59" t="str">
        <f t="shared" si="8"/>
        <v/>
      </c>
      <c r="AF56" s="137"/>
      <c r="AG56" s="137"/>
      <c r="AH56" s="137"/>
      <c r="AI56" s="137"/>
      <c r="AJ56" s="137"/>
      <c r="AK56" s="138"/>
    </row>
    <row r="57" spans="1:37">
      <c r="A57" s="60"/>
      <c r="B57" s="61"/>
      <c r="C57" s="63"/>
      <c r="D57" s="60"/>
      <c r="E57" s="69"/>
      <c r="F57" s="185"/>
      <c r="G57" s="185"/>
      <c r="H57" s="184"/>
      <c r="I57" s="186"/>
      <c r="J57" s="184"/>
      <c r="K57" s="186"/>
      <c r="L57" s="184"/>
      <c r="M57" s="186"/>
      <c r="N57" s="184"/>
      <c r="O57" s="183"/>
      <c r="P57" s="184"/>
      <c r="Q57" s="180">
        <f t="shared" si="10"/>
        <v>0</v>
      </c>
      <c r="R57" s="181">
        <f t="shared" si="11"/>
        <v>0</v>
      </c>
      <c r="S57" s="182" t="e">
        <f t="shared" si="12"/>
        <v>#DIV/0!</v>
      </c>
      <c r="T57" s="182" t="b">
        <f t="shared" si="13"/>
        <v>0</v>
      </c>
      <c r="U57" s="187"/>
      <c r="V57" s="161"/>
      <c r="W57" s="162"/>
      <c r="X57" s="169"/>
      <c r="Y57" s="169"/>
      <c r="Z57" s="22" t="b">
        <f t="shared" si="14"/>
        <v>0</v>
      </c>
      <c r="AA57" s="74">
        <f t="shared" si="15"/>
        <v>0</v>
      </c>
      <c r="AB57" s="155"/>
      <c r="AC57" s="175"/>
      <c r="AD57" s="180">
        <f t="shared" si="16"/>
        <v>9950</v>
      </c>
      <c r="AE57" s="59" t="str">
        <f t="shared" si="8"/>
        <v/>
      </c>
      <c r="AF57" s="137"/>
      <c r="AG57" s="137"/>
      <c r="AH57" s="137"/>
      <c r="AI57" s="137"/>
      <c r="AJ57" s="137"/>
      <c r="AK57" s="138"/>
    </row>
    <row r="58" spans="1:37">
      <c r="A58" s="60"/>
      <c r="B58" s="61"/>
      <c r="C58" s="63"/>
      <c r="D58" s="60"/>
      <c r="E58" s="69"/>
      <c r="F58" s="185"/>
      <c r="G58" s="185"/>
      <c r="H58" s="184"/>
      <c r="I58" s="186"/>
      <c r="J58" s="184"/>
      <c r="K58" s="186"/>
      <c r="L58" s="184"/>
      <c r="M58" s="186"/>
      <c r="N58" s="184"/>
      <c r="O58" s="183"/>
      <c r="P58" s="184"/>
      <c r="Q58" s="180">
        <f t="shared" si="10"/>
        <v>0</v>
      </c>
      <c r="R58" s="181">
        <f t="shared" si="11"/>
        <v>0</v>
      </c>
      <c r="S58" s="182" t="e">
        <f t="shared" si="12"/>
        <v>#DIV/0!</v>
      </c>
      <c r="T58" s="182" t="b">
        <f t="shared" si="13"/>
        <v>0</v>
      </c>
      <c r="U58" s="187"/>
      <c r="V58" s="161"/>
      <c r="W58" s="162"/>
      <c r="X58" s="169"/>
      <c r="Y58" s="169"/>
      <c r="Z58" s="22" t="b">
        <f t="shared" si="14"/>
        <v>0</v>
      </c>
      <c r="AA58" s="74">
        <f t="shared" si="15"/>
        <v>0</v>
      </c>
      <c r="AB58" s="155"/>
      <c r="AC58" s="175"/>
      <c r="AD58" s="180">
        <f t="shared" si="16"/>
        <v>9950</v>
      </c>
      <c r="AE58" s="59" t="str">
        <f t="shared" si="8"/>
        <v/>
      </c>
      <c r="AF58" s="137"/>
      <c r="AG58" s="137"/>
      <c r="AH58" s="137"/>
      <c r="AI58" s="137"/>
      <c r="AJ58" s="137"/>
      <c r="AK58" s="138"/>
    </row>
    <row r="59" spans="1:37">
      <c r="A59" s="60"/>
      <c r="B59" s="61"/>
      <c r="C59" s="63"/>
      <c r="D59" s="60"/>
      <c r="E59" s="69"/>
      <c r="F59" s="185"/>
      <c r="G59" s="185"/>
      <c r="H59" s="184"/>
      <c r="I59" s="186"/>
      <c r="J59" s="184"/>
      <c r="K59" s="186"/>
      <c r="L59" s="184"/>
      <c r="M59" s="186"/>
      <c r="N59" s="184"/>
      <c r="O59" s="183"/>
      <c r="P59" s="184"/>
      <c r="Q59" s="180">
        <f t="shared" si="10"/>
        <v>0</v>
      </c>
      <c r="R59" s="181">
        <f t="shared" si="11"/>
        <v>0</v>
      </c>
      <c r="S59" s="182" t="e">
        <f t="shared" si="12"/>
        <v>#DIV/0!</v>
      </c>
      <c r="T59" s="182" t="b">
        <f t="shared" si="13"/>
        <v>0</v>
      </c>
      <c r="U59" s="187"/>
      <c r="V59" s="161"/>
      <c r="W59" s="162"/>
      <c r="X59" s="169"/>
      <c r="Y59" s="169"/>
      <c r="Z59" s="22" t="b">
        <f t="shared" si="14"/>
        <v>0</v>
      </c>
      <c r="AA59" s="74">
        <f t="shared" si="15"/>
        <v>0</v>
      </c>
      <c r="AB59" s="155"/>
      <c r="AC59" s="175"/>
      <c r="AD59" s="180">
        <f t="shared" si="16"/>
        <v>9950</v>
      </c>
      <c r="AE59" s="59" t="str">
        <f t="shared" si="8"/>
        <v/>
      </c>
      <c r="AF59" s="137"/>
      <c r="AG59" s="137"/>
      <c r="AH59" s="137"/>
      <c r="AI59" s="137"/>
      <c r="AJ59" s="137"/>
      <c r="AK59" s="138"/>
    </row>
    <row r="60" spans="1:37">
      <c r="A60" s="60"/>
      <c r="B60" s="61"/>
      <c r="C60" s="63"/>
      <c r="D60" s="60"/>
      <c r="E60" s="69"/>
      <c r="F60" s="185"/>
      <c r="G60" s="185"/>
      <c r="H60" s="184"/>
      <c r="I60" s="186"/>
      <c r="J60" s="184"/>
      <c r="K60" s="186"/>
      <c r="L60" s="184"/>
      <c r="M60" s="186"/>
      <c r="N60" s="184"/>
      <c r="O60" s="183"/>
      <c r="P60" s="184"/>
      <c r="Q60" s="180">
        <f t="shared" si="10"/>
        <v>0</v>
      </c>
      <c r="R60" s="181">
        <f t="shared" si="11"/>
        <v>0</v>
      </c>
      <c r="S60" s="182" t="e">
        <f t="shared" si="12"/>
        <v>#DIV/0!</v>
      </c>
      <c r="T60" s="182" t="b">
        <f t="shared" si="13"/>
        <v>0</v>
      </c>
      <c r="U60" s="187"/>
      <c r="V60" s="161"/>
      <c r="W60" s="162"/>
      <c r="X60" s="169"/>
      <c r="Y60" s="169"/>
      <c r="Z60" s="22" t="b">
        <f t="shared" si="14"/>
        <v>0</v>
      </c>
      <c r="AA60" s="74">
        <f t="shared" si="15"/>
        <v>0</v>
      </c>
      <c r="AB60" s="155"/>
      <c r="AC60" s="175"/>
      <c r="AD60" s="180">
        <f t="shared" si="16"/>
        <v>9950</v>
      </c>
      <c r="AE60" s="59" t="str">
        <f t="shared" si="8"/>
        <v/>
      </c>
      <c r="AF60" s="137"/>
      <c r="AG60" s="137"/>
      <c r="AH60" s="137"/>
      <c r="AI60" s="137"/>
      <c r="AJ60" s="137"/>
      <c r="AK60" s="138"/>
    </row>
    <row r="61" spans="1:37">
      <c r="A61" s="60"/>
      <c r="B61" s="61"/>
      <c r="C61" s="63"/>
      <c r="D61" s="60"/>
      <c r="E61" s="69"/>
      <c r="F61" s="185"/>
      <c r="G61" s="185"/>
      <c r="H61" s="184"/>
      <c r="I61" s="186"/>
      <c r="J61" s="184"/>
      <c r="K61" s="186"/>
      <c r="L61" s="184"/>
      <c r="M61" s="186"/>
      <c r="N61" s="184"/>
      <c r="O61" s="183"/>
      <c r="P61" s="184"/>
      <c r="Q61" s="180">
        <f t="shared" si="10"/>
        <v>0</v>
      </c>
      <c r="R61" s="181">
        <f t="shared" si="11"/>
        <v>0</v>
      </c>
      <c r="S61" s="182" t="e">
        <f t="shared" si="12"/>
        <v>#DIV/0!</v>
      </c>
      <c r="T61" s="182" t="b">
        <f t="shared" si="13"/>
        <v>0</v>
      </c>
      <c r="U61" s="187"/>
      <c r="V61" s="161"/>
      <c r="W61" s="162"/>
      <c r="X61" s="169"/>
      <c r="Y61" s="169"/>
      <c r="Z61" s="22" t="b">
        <f t="shared" si="14"/>
        <v>0</v>
      </c>
      <c r="AA61" s="74">
        <f t="shared" si="15"/>
        <v>0</v>
      </c>
      <c r="AB61" s="155"/>
      <c r="AC61" s="175"/>
      <c r="AD61" s="180">
        <f t="shared" si="16"/>
        <v>9950</v>
      </c>
      <c r="AE61" s="59" t="str">
        <f t="shared" si="8"/>
        <v/>
      </c>
      <c r="AF61" s="137"/>
      <c r="AG61" s="137"/>
      <c r="AH61" s="137"/>
      <c r="AI61" s="137"/>
      <c r="AJ61" s="137"/>
      <c r="AK61" s="138"/>
    </row>
    <row r="62" spans="1:37">
      <c r="A62" s="60"/>
      <c r="B62" s="61"/>
      <c r="C62" s="63"/>
      <c r="D62" s="60"/>
      <c r="E62" s="69"/>
      <c r="F62" s="185"/>
      <c r="G62" s="185"/>
      <c r="H62" s="184"/>
      <c r="I62" s="186"/>
      <c r="J62" s="184"/>
      <c r="K62" s="186"/>
      <c r="L62" s="184"/>
      <c r="M62" s="186"/>
      <c r="N62" s="184"/>
      <c r="O62" s="183"/>
      <c r="P62" s="184"/>
      <c r="Q62" s="180">
        <f t="shared" si="10"/>
        <v>0</v>
      </c>
      <c r="R62" s="181">
        <f t="shared" si="11"/>
        <v>0</v>
      </c>
      <c r="S62" s="182" t="e">
        <f t="shared" si="12"/>
        <v>#DIV/0!</v>
      </c>
      <c r="T62" s="182" t="b">
        <f t="shared" si="13"/>
        <v>0</v>
      </c>
      <c r="U62" s="187"/>
      <c r="V62" s="161"/>
      <c r="W62" s="162"/>
      <c r="X62" s="169"/>
      <c r="Y62" s="169"/>
      <c r="Z62" s="22" t="b">
        <f t="shared" si="14"/>
        <v>0</v>
      </c>
      <c r="AA62" s="74">
        <f t="shared" si="15"/>
        <v>0</v>
      </c>
      <c r="AB62" s="155"/>
      <c r="AC62" s="175"/>
      <c r="AD62" s="180">
        <f t="shared" si="16"/>
        <v>9950</v>
      </c>
      <c r="AE62" s="59" t="str">
        <f t="shared" si="8"/>
        <v/>
      </c>
      <c r="AF62" s="137"/>
      <c r="AG62" s="137"/>
      <c r="AH62" s="137"/>
      <c r="AI62" s="137"/>
      <c r="AJ62" s="137"/>
      <c r="AK62" s="138"/>
    </row>
  </sheetData>
  <sortState xmlns:xlrd2="http://schemas.microsoft.com/office/spreadsheetml/2017/richdata2" ref="A15:AJ24">
    <sortCondition ref="B5:B14"/>
  </sortState>
  <mergeCells count="9">
    <mergeCell ref="AF2:AK2"/>
    <mergeCell ref="AF13:AK13"/>
    <mergeCell ref="A1:B1"/>
    <mergeCell ref="A2:S2"/>
    <mergeCell ref="U2:Z2"/>
    <mergeCell ref="AA2:AD2"/>
    <mergeCell ref="A13:S13"/>
    <mergeCell ref="U13:Z13"/>
    <mergeCell ref="AA13:AD13"/>
  </mergeCells>
  <conditionalFormatting sqref="AA15:AA62">
    <cfRule type="cellIs" dxfId="8" priority="51" operator="lessThanOrEqual">
      <formula>0</formula>
    </cfRule>
  </conditionalFormatting>
  <conditionalFormatting sqref="X4:Z5 X15:Z62">
    <cfRule type="expression" dxfId="7" priority="95">
      <formula>($W4:$W39)&lt;&gt;"ME"</formula>
    </cfRule>
  </conditionalFormatting>
  <conditionalFormatting sqref="AA5:AA7">
    <cfRule type="cellIs" dxfId="6" priority="18" operator="lessThanOrEqual">
      <formula>0</formula>
    </cfRule>
  </conditionalFormatting>
  <conditionalFormatting sqref="AA4">
    <cfRule type="cellIs" dxfId="5" priority="14" operator="lessThanOrEqual">
      <formula>0</formula>
    </cfRule>
  </conditionalFormatting>
  <conditionalFormatting sqref="X6:Z6">
    <cfRule type="expression" dxfId="4" priority="13">
      <formula>($W6:$W43)&lt;&gt;"ME"</formula>
    </cfRule>
  </conditionalFormatting>
  <conditionalFormatting sqref="X7:Z7">
    <cfRule type="expression" dxfId="3" priority="19">
      <formula>($W6:$W41)&lt;&gt;"ME"</formula>
    </cfRule>
  </conditionalFormatting>
  <conditionalFormatting sqref="AA8">
    <cfRule type="cellIs" dxfId="2" priority="12" operator="lessThanOrEqual">
      <formula>0</formula>
    </cfRule>
  </conditionalFormatting>
  <conditionalFormatting sqref="X8:Z8">
    <cfRule type="expression" dxfId="1" priority="11">
      <formula>($W8:$W47)&lt;&gt;"ME"</formula>
    </cfRule>
  </conditionalFormatting>
  <dataValidations count="1">
    <dataValidation type="list" showInputMessage="1" showErrorMessage="1" sqref="D6" xr:uid="{00000000-0002-0000-0100-000000000000}">
      <formula1>$U$1:$U$3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xr:uid="{00000000-0002-0000-0100-000001000000}">
          <x14:formula1>
            <xm:f>'Intro and Instructions'!$D$5:$D$8</xm:f>
          </x14:formula1>
          <xm:sqref>W4:W8 W15:W62</xm:sqref>
        </x14:dataValidation>
        <x14:dataValidation type="list" showInputMessage="1" showErrorMessage="1" xr:uid="{00000000-0002-0000-0100-000002000000}">
          <x14:formula1>
            <xm:f>'Intro and Instructions'!$D$17:$D$18</xm:f>
          </x14:formula1>
          <xm:sqref>D4:D5 D7:D8 D15:D62</xm:sqref>
        </x14:dataValidation>
        <x14:dataValidation type="list" showInputMessage="1" showErrorMessage="1" xr:uid="{00000000-0002-0000-0100-000003000000}">
          <x14:formula1>
            <xm:f>'Intro and Instructions'!$D$11:$D$15</xm:f>
          </x14:formula1>
          <xm:sqref>C4:C5 C7:C8 C15:C62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W129"/>
  <sheetViews>
    <sheetView workbookViewId="0">
      <selection activeCell="W19" sqref="W19"/>
    </sheetView>
  </sheetViews>
  <sheetFormatPr defaultRowHeight="15"/>
  <cols>
    <col min="1" max="1" width="13.28515625" customWidth="1"/>
    <col min="4" max="4" width="25.28515625" customWidth="1"/>
  </cols>
  <sheetData>
    <row r="1" spans="1:23" ht="31.5">
      <c r="A1" s="40" t="s">
        <v>49</v>
      </c>
      <c r="B1" s="53" t="s">
        <v>80</v>
      </c>
      <c r="E1" s="31" t="s">
        <v>81</v>
      </c>
      <c r="I1" s="207" t="s">
        <v>82</v>
      </c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</row>
    <row r="2" spans="1:23">
      <c r="A2" s="154">
        <f>'Trade Blotter'!AD15</f>
        <v>10150</v>
      </c>
    </row>
    <row r="3" spans="1:23">
      <c r="A3" s="154">
        <f>'Trade Blotter'!AD16</f>
        <v>10050</v>
      </c>
    </row>
    <row r="4" spans="1:23">
      <c r="A4" s="154">
        <f>'Trade Blotter'!AD17</f>
        <v>10300</v>
      </c>
    </row>
    <row r="5" spans="1:23">
      <c r="A5" s="154">
        <f>'Trade Blotter'!AD18</f>
        <v>10150</v>
      </c>
    </row>
    <row r="6" spans="1:23">
      <c r="A6" s="154">
        <f>'Trade Blotter'!AD19</f>
        <v>9950</v>
      </c>
    </row>
    <row r="7" spans="1:23">
      <c r="A7" s="154">
        <f>'Trade Blotter'!AD20</f>
        <v>9950</v>
      </c>
    </row>
    <row r="8" spans="1:23">
      <c r="A8" s="154">
        <f>'Trade Blotter'!AD21</f>
        <v>9950</v>
      </c>
      <c r="D8" s="38"/>
    </row>
    <row r="9" spans="1:23">
      <c r="A9" s="154">
        <f>'Trade Blotter'!AD22</f>
        <v>9950</v>
      </c>
      <c r="D9" s="38"/>
    </row>
    <row r="10" spans="1:23">
      <c r="A10" s="154">
        <f>'Trade Blotter'!AD23</f>
        <v>9950</v>
      </c>
      <c r="D10" s="38"/>
    </row>
    <row r="11" spans="1:23">
      <c r="A11" s="154">
        <f>'Trade Blotter'!AD24</f>
        <v>9950</v>
      </c>
      <c r="D11" s="38"/>
    </row>
    <row r="12" spans="1:23">
      <c r="A12" s="154">
        <f>'Trade Blotter'!AD25</f>
        <v>9950</v>
      </c>
      <c r="D12" s="38"/>
    </row>
    <row r="13" spans="1:23">
      <c r="A13" s="154">
        <f>'Trade Blotter'!AD26</f>
        <v>9950</v>
      </c>
      <c r="D13" s="38"/>
    </row>
    <row r="14" spans="1:23">
      <c r="A14" s="154">
        <f>'Trade Blotter'!AD27</f>
        <v>9950</v>
      </c>
      <c r="D14" s="38"/>
    </row>
    <row r="15" spans="1:23">
      <c r="A15" s="154">
        <f>'Trade Blotter'!AD28</f>
        <v>9950</v>
      </c>
      <c r="D15" s="38"/>
    </row>
    <row r="16" spans="1:23">
      <c r="A16" s="154">
        <f>'Trade Blotter'!AD29</f>
        <v>9950</v>
      </c>
      <c r="D16" s="38"/>
    </row>
    <row r="17" spans="1:4">
      <c r="A17" s="154">
        <f>'Trade Blotter'!AD30</f>
        <v>9950</v>
      </c>
      <c r="D17" s="38"/>
    </row>
    <row r="18" spans="1:4">
      <c r="A18" s="154">
        <f>'Trade Blotter'!AD31</f>
        <v>9950</v>
      </c>
    </row>
    <row r="19" spans="1:4">
      <c r="A19" s="154">
        <f>'Trade Blotter'!AD32</f>
        <v>9950</v>
      </c>
    </row>
    <row r="20" spans="1:4">
      <c r="A20" s="154">
        <f>'Trade Blotter'!AD33</f>
        <v>9950</v>
      </c>
    </row>
    <row r="21" spans="1:4">
      <c r="A21" s="154">
        <f>'Trade Blotter'!AD34</f>
        <v>9950</v>
      </c>
    </row>
    <row r="22" spans="1:4">
      <c r="A22" s="154">
        <f>'Trade Blotter'!AD35</f>
        <v>9950</v>
      </c>
    </row>
    <row r="23" spans="1:4">
      <c r="A23" s="154">
        <f>'Trade Blotter'!AD36</f>
        <v>9950</v>
      </c>
    </row>
    <row r="24" spans="1:4">
      <c r="A24" s="154">
        <f>'Trade Blotter'!AD37</f>
        <v>9950</v>
      </c>
    </row>
    <row r="25" spans="1:4">
      <c r="A25" s="154">
        <f>'Trade Blotter'!AD38</f>
        <v>9950</v>
      </c>
    </row>
    <row r="26" spans="1:4">
      <c r="A26" s="154">
        <f>'Trade Blotter'!AD39</f>
        <v>9950</v>
      </c>
    </row>
    <row r="27" spans="1:4">
      <c r="A27" s="154">
        <f>'Trade Blotter'!AD40</f>
        <v>9950</v>
      </c>
    </row>
    <row r="28" spans="1:4">
      <c r="A28" s="154">
        <f>'Trade Blotter'!AD41</f>
        <v>9950</v>
      </c>
    </row>
    <row r="29" spans="1:4">
      <c r="A29" s="154">
        <f>'Trade Blotter'!AD42</f>
        <v>9950</v>
      </c>
    </row>
    <row r="30" spans="1:4">
      <c r="A30" s="154">
        <f>'Trade Blotter'!AD43</f>
        <v>9950</v>
      </c>
    </row>
    <row r="31" spans="1:4">
      <c r="A31" s="154">
        <f>'Trade Blotter'!AD44</f>
        <v>9950</v>
      </c>
    </row>
    <row r="32" spans="1:4">
      <c r="A32" s="154">
        <f>'Trade Blotter'!AD45</f>
        <v>9950</v>
      </c>
    </row>
    <row r="33" spans="1:1">
      <c r="A33" s="154">
        <f>'Trade Blotter'!AD46</f>
        <v>9950</v>
      </c>
    </row>
    <row r="34" spans="1:1">
      <c r="A34" s="154">
        <f>'Trade Blotter'!AD47</f>
        <v>9950</v>
      </c>
    </row>
    <row r="35" spans="1:1">
      <c r="A35" s="154">
        <f>'Trade Blotter'!AD48</f>
        <v>9950</v>
      </c>
    </row>
    <row r="36" spans="1:1">
      <c r="A36" s="38"/>
    </row>
    <row r="37" spans="1:1">
      <c r="A37" s="38"/>
    </row>
    <row r="38" spans="1:1">
      <c r="A38" s="38"/>
    </row>
    <row r="39" spans="1:1">
      <c r="A39" s="38"/>
    </row>
    <row r="40" spans="1:1">
      <c r="A40" s="38"/>
    </row>
    <row r="41" spans="1:1">
      <c r="A41" s="38"/>
    </row>
    <row r="42" spans="1:1">
      <c r="A42" s="38"/>
    </row>
    <row r="43" spans="1:1">
      <c r="A43" s="38"/>
    </row>
    <row r="44" spans="1:1">
      <c r="A44" s="38"/>
    </row>
    <row r="45" spans="1:1">
      <c r="A45" s="38"/>
    </row>
    <row r="46" spans="1:1">
      <c r="A46" s="38"/>
    </row>
    <row r="47" spans="1:1">
      <c r="A47" s="38"/>
    </row>
    <row r="48" spans="1:1">
      <c r="A48" s="38"/>
    </row>
    <row r="49" spans="1:1">
      <c r="A49" s="38"/>
    </row>
    <row r="50" spans="1:1">
      <c r="A50" s="38"/>
    </row>
    <row r="51" spans="1:1">
      <c r="A51" s="38"/>
    </row>
    <row r="52" spans="1:1">
      <c r="A52" s="38"/>
    </row>
    <row r="53" spans="1:1">
      <c r="A53" s="38"/>
    </row>
    <row r="54" spans="1:1">
      <c r="A54" s="38"/>
    </row>
    <row r="55" spans="1:1">
      <c r="A55" s="38"/>
    </row>
    <row r="56" spans="1:1">
      <c r="A56" s="38"/>
    </row>
    <row r="57" spans="1:1">
      <c r="A57" s="38"/>
    </row>
    <row r="58" spans="1:1">
      <c r="A58" s="38"/>
    </row>
    <row r="59" spans="1:1">
      <c r="A59" s="38"/>
    </row>
    <row r="60" spans="1:1">
      <c r="A60" s="38"/>
    </row>
    <row r="61" spans="1:1">
      <c r="A61" s="38"/>
    </row>
    <row r="62" spans="1:1">
      <c r="A62" s="38"/>
    </row>
    <row r="63" spans="1:1">
      <c r="A63" s="38"/>
    </row>
    <row r="64" spans="1:1">
      <c r="A64" s="38"/>
    </row>
    <row r="65" spans="1:1">
      <c r="A65" s="38"/>
    </row>
    <row r="66" spans="1:1">
      <c r="A66" s="38"/>
    </row>
    <row r="67" spans="1:1">
      <c r="A67" s="38"/>
    </row>
    <row r="68" spans="1:1">
      <c r="A68" s="38"/>
    </row>
    <row r="69" spans="1:1">
      <c r="A69" s="38"/>
    </row>
    <row r="70" spans="1:1">
      <c r="A70" s="38"/>
    </row>
    <row r="71" spans="1:1">
      <c r="A71" s="38"/>
    </row>
    <row r="72" spans="1:1">
      <c r="A72" s="38"/>
    </row>
    <row r="73" spans="1:1">
      <c r="A73" s="38"/>
    </row>
    <row r="74" spans="1:1">
      <c r="A74" s="38"/>
    </row>
    <row r="75" spans="1:1">
      <c r="A75" s="38"/>
    </row>
    <row r="76" spans="1:1">
      <c r="A76" s="38"/>
    </row>
    <row r="77" spans="1:1">
      <c r="A77" s="38"/>
    </row>
    <row r="78" spans="1:1">
      <c r="A78" s="38"/>
    </row>
    <row r="79" spans="1:1">
      <c r="A79" s="38"/>
    </row>
    <row r="80" spans="1:1">
      <c r="A80" s="38"/>
    </row>
    <row r="81" spans="1:1">
      <c r="A81" s="38"/>
    </row>
    <row r="82" spans="1:1">
      <c r="A82" s="38"/>
    </row>
    <row r="83" spans="1:1">
      <c r="A83" s="38"/>
    </row>
    <row r="84" spans="1:1">
      <c r="A84" s="38"/>
    </row>
    <row r="85" spans="1:1">
      <c r="A85" s="38"/>
    </row>
    <row r="86" spans="1:1">
      <c r="A86" s="38"/>
    </row>
    <row r="87" spans="1:1">
      <c r="A87" s="38"/>
    </row>
    <row r="88" spans="1:1">
      <c r="A88" s="38"/>
    </row>
    <row r="89" spans="1:1">
      <c r="A89" s="38"/>
    </row>
    <row r="90" spans="1:1">
      <c r="A90" s="38"/>
    </row>
    <row r="91" spans="1:1">
      <c r="A91" s="38"/>
    </row>
    <row r="92" spans="1:1">
      <c r="A92" s="38"/>
    </row>
    <row r="93" spans="1:1">
      <c r="A93" s="38"/>
    </row>
    <row r="94" spans="1:1">
      <c r="A94" s="38"/>
    </row>
    <row r="95" spans="1:1">
      <c r="A95" s="38"/>
    </row>
    <row r="96" spans="1:1">
      <c r="A96" s="38"/>
    </row>
    <row r="97" spans="1:1">
      <c r="A97" s="38"/>
    </row>
    <row r="98" spans="1:1">
      <c r="A98" s="38"/>
    </row>
    <row r="99" spans="1:1">
      <c r="A99" s="38"/>
    </row>
    <row r="100" spans="1:1">
      <c r="A100" s="38"/>
    </row>
    <row r="101" spans="1:1">
      <c r="A101" s="38"/>
    </row>
    <row r="102" spans="1:1">
      <c r="A102" s="38"/>
    </row>
    <row r="103" spans="1:1">
      <c r="A103" s="38"/>
    </row>
    <row r="104" spans="1:1">
      <c r="A104" s="38"/>
    </row>
    <row r="105" spans="1:1">
      <c r="A105" s="38"/>
    </row>
    <row r="106" spans="1:1">
      <c r="A106" s="38"/>
    </row>
    <row r="107" spans="1:1">
      <c r="A107" s="38"/>
    </row>
    <row r="108" spans="1:1">
      <c r="A108" s="38"/>
    </row>
    <row r="109" spans="1:1">
      <c r="A109" s="38"/>
    </row>
    <row r="110" spans="1:1">
      <c r="A110" s="38"/>
    </row>
    <row r="111" spans="1:1">
      <c r="A111" s="38"/>
    </row>
    <row r="112" spans="1:1">
      <c r="A112" s="38"/>
    </row>
    <row r="113" spans="1:1">
      <c r="A113" s="38"/>
    </row>
    <row r="114" spans="1:1">
      <c r="A114" s="38"/>
    </row>
    <row r="115" spans="1:1">
      <c r="A115" s="38"/>
    </row>
    <row r="116" spans="1:1">
      <c r="A116" s="38"/>
    </row>
    <row r="117" spans="1:1">
      <c r="A117" s="38"/>
    </row>
    <row r="118" spans="1:1">
      <c r="A118" s="38"/>
    </row>
    <row r="119" spans="1:1">
      <c r="A119" s="38"/>
    </row>
    <row r="120" spans="1:1">
      <c r="A120" s="38"/>
    </row>
    <row r="121" spans="1:1">
      <c r="A121" s="38"/>
    </row>
    <row r="122" spans="1:1">
      <c r="A122" s="38"/>
    </row>
    <row r="123" spans="1:1">
      <c r="A123" s="38"/>
    </row>
    <row r="124" spans="1:1">
      <c r="A124" s="38"/>
    </row>
    <row r="125" spans="1:1">
      <c r="A125" s="38"/>
    </row>
    <row r="126" spans="1:1">
      <c r="A126" s="38"/>
    </row>
    <row r="127" spans="1:1">
      <c r="A127" s="38"/>
    </row>
    <row r="128" spans="1:1">
      <c r="A128" s="38"/>
    </row>
    <row r="129" spans="1:1">
      <c r="A129" s="38"/>
    </row>
  </sheetData>
  <mergeCells count="1">
    <mergeCell ref="I1:W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Y113"/>
  <sheetViews>
    <sheetView workbookViewId="0">
      <selection activeCell="Y5" sqref="Y5"/>
    </sheetView>
  </sheetViews>
  <sheetFormatPr defaultRowHeight="15"/>
  <cols>
    <col min="2" max="2" width="10.7109375" bestFit="1" customWidth="1"/>
    <col min="7" max="7" width="13.7109375" bestFit="1" customWidth="1"/>
    <col min="13" max="16" width="9.140625" style="80"/>
    <col min="21" max="21" width="13.7109375" bestFit="1" customWidth="1"/>
  </cols>
  <sheetData>
    <row r="1" spans="1:25" ht="31.5">
      <c r="E1" s="52"/>
      <c r="K1" s="207" t="s">
        <v>82</v>
      </c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</row>
    <row r="2" spans="1:25" ht="23.25">
      <c r="F2" s="31" t="s">
        <v>83</v>
      </c>
      <c r="J2" s="84"/>
      <c r="S2" s="84"/>
    </row>
    <row r="3" spans="1:25">
      <c r="J3" s="84"/>
      <c r="S3" s="84"/>
    </row>
    <row r="4" spans="1:25">
      <c r="A4" s="86" t="s">
        <v>29</v>
      </c>
      <c r="B4" s="40" t="s">
        <v>84</v>
      </c>
      <c r="C4" s="53" t="s">
        <v>85</v>
      </c>
      <c r="J4" s="84"/>
      <c r="M4" s="57" t="s">
        <v>86</v>
      </c>
      <c r="N4" s="57" t="s">
        <v>87</v>
      </c>
      <c r="O4" s="57" t="s">
        <v>88</v>
      </c>
      <c r="P4" s="57" t="s">
        <v>89</v>
      </c>
      <c r="S4" s="84"/>
      <c r="U4" s="89" t="s">
        <v>90</v>
      </c>
      <c r="V4" s="109">
        <f>AVERAGEIFS(B5:B50,A5:A50,"B",B5:B50,"&gt;0")</f>
        <v>150</v>
      </c>
    </row>
    <row r="5" spans="1:25">
      <c r="A5" s="95" t="str">
        <f>'Trade Blotter'!D15</f>
        <v>B</v>
      </c>
      <c r="B5" s="94">
        <f>'Trade Blotter'!AB15</f>
        <v>150</v>
      </c>
      <c r="J5" s="84"/>
      <c r="L5" s="87" t="s">
        <v>91</v>
      </c>
      <c r="M5" s="95">
        <f>COUNTIF(B5:B50,"&gt;0")</f>
        <v>2</v>
      </c>
      <c r="N5" s="105">
        <f>M5/(M5+M6)</f>
        <v>0.4</v>
      </c>
      <c r="O5" s="106">
        <f>AVERAGEIF(B5:B50,"&gt;0",B5:B50)</f>
        <v>200</v>
      </c>
      <c r="P5" s="107">
        <f>MAX(B5:B50)</f>
        <v>250</v>
      </c>
      <c r="S5" s="84"/>
      <c r="U5" s="89" t="s">
        <v>92</v>
      </c>
      <c r="V5" s="109" t="e">
        <f>AVERAGEIFS(B5:B50,A5:A50,"S",B5:B50,"&gt;0")</f>
        <v>#DIV/0!</v>
      </c>
    </row>
    <row r="6" spans="1:25">
      <c r="A6" s="95">
        <f>'Trade Blotter'!D16</f>
        <v>0</v>
      </c>
      <c r="B6" s="94">
        <f>'Trade Blotter'!AB16</f>
        <v>-100</v>
      </c>
      <c r="J6" s="84"/>
      <c r="L6" s="88" t="s">
        <v>93</v>
      </c>
      <c r="M6" s="95">
        <f>COUNTIF(B5:B50,"&lt;0")</f>
        <v>3</v>
      </c>
      <c r="N6" s="105">
        <f>M6/(M5+M6)</f>
        <v>0.6</v>
      </c>
      <c r="O6" s="106">
        <f>AVERAGEIF(B5:B50,"&lt;0",B5:B50)</f>
        <v>-150</v>
      </c>
      <c r="P6" s="108">
        <f>MIN(B5:B50)</f>
        <v>-200</v>
      </c>
      <c r="S6" s="84"/>
      <c r="U6" s="90" t="s">
        <v>94</v>
      </c>
      <c r="V6" s="109" t="e">
        <f>AVERAGEIFS(B5:B50,A5:A50,"B",B5:B50,"&lt;0")</f>
        <v>#DIV/0!</v>
      </c>
    </row>
    <row r="7" spans="1:25">
      <c r="A7" s="95">
        <f>'Trade Blotter'!D17</f>
        <v>0</v>
      </c>
      <c r="B7" s="94">
        <f>'Trade Blotter'!AB17</f>
        <v>250</v>
      </c>
      <c r="J7" s="84"/>
      <c r="L7" s="42" t="s">
        <v>95</v>
      </c>
      <c r="M7" s="104">
        <f>SUM(M5:M6)</f>
        <v>5</v>
      </c>
      <c r="S7" s="84"/>
      <c r="U7" s="90" t="s">
        <v>96</v>
      </c>
      <c r="V7" s="109" t="e">
        <f>AVERAGEIFS(B5:B50,A5:A50,"S",B5:B50,"&lt;0")</f>
        <v>#DIV/0!</v>
      </c>
    </row>
    <row r="8" spans="1:25">
      <c r="A8" s="95">
        <f>'Trade Blotter'!D18</f>
        <v>0</v>
      </c>
      <c r="B8" s="94">
        <f>'Trade Blotter'!AB18</f>
        <v>-150</v>
      </c>
      <c r="J8" s="84"/>
      <c r="S8" s="84"/>
    </row>
    <row r="9" spans="1:25">
      <c r="A9" s="95">
        <f>'Trade Blotter'!D19</f>
        <v>0</v>
      </c>
      <c r="B9" s="94">
        <f>'Trade Blotter'!AB19</f>
        <v>-200</v>
      </c>
      <c r="J9" s="84"/>
      <c r="S9" s="84"/>
    </row>
    <row r="10" spans="1:25">
      <c r="A10" s="95">
        <f>'Trade Blotter'!D20</f>
        <v>0</v>
      </c>
      <c r="B10" s="94">
        <f>'Trade Blotter'!AB20</f>
        <v>0</v>
      </c>
      <c r="J10" s="84"/>
      <c r="S10" s="84"/>
    </row>
    <row r="11" spans="1:25">
      <c r="A11" s="95">
        <f>'Trade Blotter'!D21</f>
        <v>0</v>
      </c>
      <c r="B11" s="94">
        <f>'Trade Blotter'!AB21</f>
        <v>0</v>
      </c>
      <c r="J11" s="84"/>
      <c r="S11" s="84"/>
    </row>
    <row r="12" spans="1:25">
      <c r="A12" s="95">
        <f>'Trade Blotter'!D22</f>
        <v>0</v>
      </c>
      <c r="B12" s="94">
        <f>'Trade Blotter'!AB22</f>
        <v>0</v>
      </c>
      <c r="J12" s="84"/>
      <c r="S12" s="84"/>
    </row>
    <row r="13" spans="1:25">
      <c r="A13" s="95">
        <f>'Trade Blotter'!D23</f>
        <v>0</v>
      </c>
      <c r="B13" s="94">
        <f>'Trade Blotter'!AB23</f>
        <v>0</v>
      </c>
      <c r="J13" s="84"/>
      <c r="S13" s="84"/>
    </row>
    <row r="14" spans="1:25">
      <c r="A14" s="95">
        <f>'Trade Blotter'!D23</f>
        <v>0</v>
      </c>
      <c r="B14" s="94">
        <f>'Trade Blotter'!AB23</f>
        <v>0</v>
      </c>
      <c r="J14" s="84"/>
      <c r="S14" s="84"/>
    </row>
    <row r="15" spans="1:25">
      <c r="A15" s="95">
        <f>'Trade Blotter'!D24</f>
        <v>0</v>
      </c>
      <c r="B15" s="94">
        <f>'Trade Blotter'!AB24</f>
        <v>0</v>
      </c>
      <c r="J15" s="84"/>
      <c r="S15" s="84"/>
    </row>
    <row r="16" spans="1:25">
      <c r="A16" s="95">
        <f>'Trade Blotter'!D25</f>
        <v>0</v>
      </c>
      <c r="B16" s="94">
        <f>'Trade Blotter'!AB25</f>
        <v>0</v>
      </c>
      <c r="J16" s="84"/>
      <c r="S16" s="84"/>
    </row>
    <row r="17" spans="1:19">
      <c r="A17" s="95">
        <f>'Trade Blotter'!D26</f>
        <v>0</v>
      </c>
      <c r="B17" s="94">
        <f>'Trade Blotter'!AB26</f>
        <v>0</v>
      </c>
      <c r="J17" s="84"/>
      <c r="S17" s="84"/>
    </row>
    <row r="18" spans="1:19">
      <c r="A18" s="95">
        <f>'Trade Blotter'!D27</f>
        <v>0</v>
      </c>
      <c r="B18" s="94">
        <f>'Trade Blotter'!AB27</f>
        <v>0</v>
      </c>
      <c r="J18" s="84"/>
      <c r="S18" s="84"/>
    </row>
    <row r="19" spans="1:19">
      <c r="A19" s="95">
        <f>'Trade Blotter'!D28</f>
        <v>0</v>
      </c>
      <c r="B19" s="94">
        <f>'Trade Blotter'!AB28</f>
        <v>0</v>
      </c>
      <c r="J19" s="84"/>
      <c r="S19" s="84"/>
    </row>
    <row r="20" spans="1:19">
      <c r="A20" s="95">
        <f>'Trade Blotter'!D29</f>
        <v>0</v>
      </c>
      <c r="B20" s="94">
        <f>'Trade Blotter'!AB29</f>
        <v>0</v>
      </c>
      <c r="J20" s="84"/>
      <c r="S20" s="84"/>
    </row>
    <row r="21" spans="1:19">
      <c r="A21" s="95">
        <f>'Trade Blotter'!D30</f>
        <v>0</v>
      </c>
      <c r="B21" s="94">
        <f>'Trade Blotter'!AB30</f>
        <v>0</v>
      </c>
      <c r="J21" s="84"/>
      <c r="S21" s="84"/>
    </row>
    <row r="22" spans="1:19">
      <c r="A22" s="95">
        <f>'Trade Blotter'!D31</f>
        <v>0</v>
      </c>
      <c r="B22" s="94">
        <f>'Trade Blotter'!AB31</f>
        <v>0</v>
      </c>
      <c r="J22" s="84"/>
      <c r="S22" s="84"/>
    </row>
    <row r="23" spans="1:19">
      <c r="A23" s="95">
        <f>'Trade Blotter'!D32</f>
        <v>0</v>
      </c>
      <c r="B23" s="94">
        <f>'Trade Blotter'!AB32</f>
        <v>0</v>
      </c>
      <c r="J23" s="84"/>
      <c r="S23" s="84"/>
    </row>
    <row r="24" spans="1:19">
      <c r="A24" s="95">
        <f>'Trade Blotter'!D33</f>
        <v>0</v>
      </c>
      <c r="B24" s="94">
        <f>'Trade Blotter'!AB33</f>
        <v>0</v>
      </c>
      <c r="J24" s="84"/>
      <c r="S24" s="84"/>
    </row>
    <row r="25" spans="1:19">
      <c r="A25" s="95">
        <f>'Trade Blotter'!D34</f>
        <v>0</v>
      </c>
      <c r="B25" s="94">
        <f>'Trade Blotter'!AB34</f>
        <v>0</v>
      </c>
      <c r="D25" s="44"/>
      <c r="E25" s="40"/>
      <c r="G25" s="29"/>
      <c r="H25" s="29"/>
      <c r="J25" s="84"/>
      <c r="S25" s="84"/>
    </row>
    <row r="26" spans="1:19">
      <c r="A26" s="95">
        <f>'Trade Blotter'!D35</f>
        <v>0</v>
      </c>
      <c r="B26" s="94">
        <f>'Trade Blotter'!AB35</f>
        <v>0</v>
      </c>
      <c r="D26" s="23"/>
      <c r="E26" s="38"/>
      <c r="J26" s="84"/>
      <c r="S26" s="84"/>
    </row>
    <row r="27" spans="1:19">
      <c r="A27" s="95">
        <f>'Trade Blotter'!D36</f>
        <v>0</v>
      </c>
      <c r="B27" s="94">
        <f>'Trade Blotter'!AB36</f>
        <v>0</v>
      </c>
      <c r="D27" s="23"/>
      <c r="E27" s="38"/>
      <c r="J27" s="84"/>
      <c r="S27" s="84"/>
    </row>
    <row r="28" spans="1:19">
      <c r="A28" s="95">
        <f>'Trade Blotter'!D37</f>
        <v>0</v>
      </c>
      <c r="B28" s="94">
        <f>'Trade Blotter'!AB37</f>
        <v>0</v>
      </c>
      <c r="D28" s="23"/>
      <c r="E28" s="38"/>
      <c r="J28" s="84"/>
      <c r="S28" s="84"/>
    </row>
    <row r="29" spans="1:19">
      <c r="A29" s="95">
        <f>'Trade Blotter'!D38</f>
        <v>0</v>
      </c>
      <c r="B29" s="94">
        <f>'Trade Blotter'!AB38</f>
        <v>0</v>
      </c>
      <c r="D29" s="23"/>
      <c r="E29" s="38"/>
      <c r="J29" s="84"/>
      <c r="S29" s="84"/>
    </row>
    <row r="30" spans="1:19">
      <c r="A30" s="95">
        <f>'Trade Blotter'!D39</f>
        <v>0</v>
      </c>
      <c r="B30" s="94">
        <f>'Trade Blotter'!AB39</f>
        <v>0</v>
      </c>
      <c r="D30" s="23"/>
      <c r="E30" s="38"/>
      <c r="H30" s="43"/>
      <c r="J30" s="84"/>
      <c r="S30" s="84"/>
    </row>
    <row r="31" spans="1:19">
      <c r="A31" s="95">
        <f>'Trade Blotter'!D40</f>
        <v>0</v>
      </c>
      <c r="B31" s="94">
        <f>'Trade Blotter'!AB40</f>
        <v>0</v>
      </c>
      <c r="D31" s="23"/>
      <c r="E31" s="38"/>
      <c r="J31" s="84"/>
      <c r="S31" s="84"/>
    </row>
    <row r="32" spans="1:19">
      <c r="A32" s="95">
        <f>'Trade Blotter'!D41</f>
        <v>0</v>
      </c>
      <c r="B32" s="94">
        <f>'Trade Blotter'!AB41</f>
        <v>0</v>
      </c>
      <c r="D32" s="23"/>
      <c r="E32" s="38"/>
      <c r="J32" s="84"/>
      <c r="S32" s="84"/>
    </row>
    <row r="33" spans="1:19">
      <c r="A33" s="95">
        <f>'Trade Blotter'!D42</f>
        <v>0</v>
      </c>
      <c r="B33" s="94">
        <f>'Trade Blotter'!AB42</f>
        <v>0</v>
      </c>
      <c r="D33" s="23"/>
      <c r="E33" s="38"/>
      <c r="J33" s="84"/>
      <c r="S33" s="84"/>
    </row>
    <row r="34" spans="1:19">
      <c r="A34" s="95">
        <f>'Trade Blotter'!D43</f>
        <v>0</v>
      </c>
      <c r="B34" s="94">
        <f>'Trade Blotter'!AB43</f>
        <v>0</v>
      </c>
      <c r="D34" s="23"/>
      <c r="E34" s="38"/>
      <c r="J34" s="84"/>
      <c r="S34" s="84"/>
    </row>
    <row r="35" spans="1:19">
      <c r="A35" s="95">
        <f>'Trade Blotter'!D44</f>
        <v>0</v>
      </c>
      <c r="B35" s="94">
        <f>'Trade Blotter'!AB44</f>
        <v>0</v>
      </c>
      <c r="D35" s="23"/>
      <c r="E35" s="38"/>
      <c r="J35" s="84"/>
      <c r="S35" s="84"/>
    </row>
    <row r="36" spans="1:19">
      <c r="A36" s="95">
        <f>'Trade Blotter'!D45</f>
        <v>0</v>
      </c>
      <c r="B36" s="94">
        <f>'Trade Blotter'!AB45</f>
        <v>0</v>
      </c>
      <c r="D36" s="23"/>
      <c r="E36" s="38"/>
      <c r="J36" s="84"/>
      <c r="S36" s="84"/>
    </row>
    <row r="37" spans="1:19">
      <c r="A37" s="95">
        <f>'Trade Blotter'!D46</f>
        <v>0</v>
      </c>
      <c r="B37" s="94">
        <f>'Trade Blotter'!AB46</f>
        <v>0</v>
      </c>
      <c r="D37" s="23"/>
      <c r="E37" s="38"/>
      <c r="J37" s="84"/>
      <c r="S37" s="84"/>
    </row>
    <row r="38" spans="1:19">
      <c r="A38" s="95">
        <f>'Trade Blotter'!D47</f>
        <v>0</v>
      </c>
      <c r="B38" s="94">
        <f>'Trade Blotter'!AB47</f>
        <v>0</v>
      </c>
      <c r="D38" s="23"/>
      <c r="E38" s="38"/>
      <c r="J38" s="84"/>
      <c r="S38" s="84"/>
    </row>
    <row r="39" spans="1:19">
      <c r="A39" s="95">
        <f>'Trade Blotter'!D48</f>
        <v>0</v>
      </c>
      <c r="B39" s="94">
        <f>'Trade Blotter'!AB48</f>
        <v>0</v>
      </c>
      <c r="D39" s="23"/>
      <c r="E39" s="38"/>
      <c r="J39" s="84"/>
      <c r="S39" s="84"/>
    </row>
    <row r="40" spans="1:19">
      <c r="A40" s="95">
        <f>'Trade Blotter'!D49</f>
        <v>0</v>
      </c>
      <c r="B40" s="94">
        <f>'Trade Blotter'!AB49</f>
        <v>0</v>
      </c>
      <c r="D40" s="23"/>
      <c r="E40" s="38"/>
      <c r="J40" s="84"/>
      <c r="S40" s="84"/>
    </row>
    <row r="41" spans="1:19">
      <c r="A41" s="95">
        <f>'Trade Blotter'!D50</f>
        <v>0</v>
      </c>
      <c r="B41" s="94">
        <f>'Trade Blotter'!AB50</f>
        <v>0</v>
      </c>
      <c r="D41" s="23"/>
      <c r="E41" s="38"/>
      <c r="J41" s="84"/>
      <c r="S41" s="84"/>
    </row>
    <row r="42" spans="1:19">
      <c r="A42" s="95">
        <f>'Trade Blotter'!D51</f>
        <v>0</v>
      </c>
      <c r="B42" s="94">
        <f>'Trade Blotter'!AB51</f>
        <v>0</v>
      </c>
      <c r="D42" s="23"/>
      <c r="E42" s="38"/>
      <c r="J42" s="84"/>
      <c r="S42" s="84"/>
    </row>
    <row r="43" spans="1:19">
      <c r="A43" s="95">
        <f>'Trade Blotter'!D52</f>
        <v>0</v>
      </c>
      <c r="B43" s="94">
        <f>'Trade Blotter'!AB52</f>
        <v>0</v>
      </c>
      <c r="D43" s="23"/>
      <c r="E43" s="38"/>
      <c r="J43" s="84"/>
      <c r="S43" s="84"/>
    </row>
    <row r="44" spans="1:19">
      <c r="A44" s="95">
        <f>'Trade Blotter'!D53</f>
        <v>0</v>
      </c>
      <c r="B44" s="94">
        <f>'Trade Blotter'!AB53</f>
        <v>0</v>
      </c>
      <c r="D44" s="23"/>
      <c r="E44" s="38"/>
      <c r="J44" s="84"/>
      <c r="S44" s="84"/>
    </row>
    <row r="45" spans="1:19">
      <c r="A45" s="95">
        <f>'Trade Blotter'!D54</f>
        <v>0</v>
      </c>
      <c r="B45" s="94">
        <f>'Trade Blotter'!AB54</f>
        <v>0</v>
      </c>
      <c r="D45" s="23"/>
      <c r="E45" s="38"/>
      <c r="J45" s="84"/>
      <c r="S45" s="84"/>
    </row>
    <row r="46" spans="1:19">
      <c r="A46" s="95">
        <f>'Trade Blotter'!D55</f>
        <v>0</v>
      </c>
      <c r="B46" s="94">
        <f>'Trade Blotter'!AB55</f>
        <v>0</v>
      </c>
      <c r="D46" s="23"/>
      <c r="E46" s="38"/>
      <c r="J46" s="84"/>
      <c r="S46" s="84"/>
    </row>
    <row r="47" spans="1:19">
      <c r="A47" s="95">
        <f>'Trade Blotter'!D56</f>
        <v>0</v>
      </c>
      <c r="B47" s="94">
        <f>'Trade Blotter'!AB56</f>
        <v>0</v>
      </c>
      <c r="D47" s="23"/>
      <c r="E47" s="38"/>
      <c r="J47" s="84"/>
      <c r="S47" s="84"/>
    </row>
    <row r="48" spans="1:19">
      <c r="A48" s="95">
        <f>'Trade Blotter'!D57</f>
        <v>0</v>
      </c>
      <c r="B48" s="94">
        <f>'Trade Blotter'!AB57</f>
        <v>0</v>
      </c>
      <c r="J48" s="84"/>
      <c r="S48" s="84"/>
    </row>
    <row r="49" spans="1:19">
      <c r="A49" s="95">
        <f>'Trade Blotter'!D58</f>
        <v>0</v>
      </c>
      <c r="B49" s="94">
        <f>'Trade Blotter'!AB58</f>
        <v>0</v>
      </c>
      <c r="J49" s="84"/>
      <c r="S49" s="84"/>
    </row>
    <row r="50" spans="1:19">
      <c r="A50" s="95">
        <f>'Trade Blotter'!D59</f>
        <v>0</v>
      </c>
      <c r="B50" s="94">
        <f>'Trade Blotter'!AB59</f>
        <v>0</v>
      </c>
      <c r="J50" s="84"/>
      <c r="S50" s="84"/>
    </row>
    <row r="51" spans="1:19">
      <c r="J51" s="84"/>
      <c r="S51" s="84"/>
    </row>
    <row r="52" spans="1:19">
      <c r="J52" s="84"/>
      <c r="S52" s="84"/>
    </row>
    <row r="53" spans="1:19">
      <c r="J53" s="84"/>
      <c r="S53" s="84"/>
    </row>
    <row r="54" spans="1:19">
      <c r="J54" s="84"/>
      <c r="S54" s="84"/>
    </row>
    <row r="55" spans="1:19">
      <c r="J55" s="84"/>
      <c r="S55" s="84"/>
    </row>
    <row r="56" spans="1:19">
      <c r="J56" s="84"/>
      <c r="S56" s="84"/>
    </row>
    <row r="57" spans="1:19">
      <c r="J57" s="84"/>
      <c r="S57" s="84"/>
    </row>
    <row r="58" spans="1:19">
      <c r="J58" s="84"/>
      <c r="S58" s="84"/>
    </row>
    <row r="59" spans="1:19">
      <c r="J59" s="84"/>
      <c r="S59" s="84"/>
    </row>
    <row r="60" spans="1:19">
      <c r="J60" s="84"/>
      <c r="S60" s="84"/>
    </row>
    <row r="61" spans="1:19">
      <c r="J61" s="84"/>
      <c r="S61" s="84"/>
    </row>
    <row r="62" spans="1:19">
      <c r="J62" s="84"/>
      <c r="S62" s="84"/>
    </row>
    <row r="63" spans="1:19">
      <c r="J63" s="84"/>
      <c r="S63" s="84"/>
    </row>
    <row r="64" spans="1:19">
      <c r="J64" s="84"/>
      <c r="S64" s="84"/>
    </row>
    <row r="65" spans="10:19">
      <c r="J65" s="84"/>
      <c r="S65" s="84"/>
    </row>
    <row r="66" spans="10:19">
      <c r="J66" s="84"/>
      <c r="S66" s="84"/>
    </row>
    <row r="67" spans="10:19">
      <c r="J67" s="84"/>
      <c r="S67" s="84"/>
    </row>
    <row r="68" spans="10:19">
      <c r="J68" s="84"/>
      <c r="S68" s="84"/>
    </row>
    <row r="69" spans="10:19">
      <c r="J69" s="84"/>
      <c r="S69" s="84"/>
    </row>
    <row r="70" spans="10:19">
      <c r="J70" s="84"/>
      <c r="S70" s="84"/>
    </row>
    <row r="71" spans="10:19">
      <c r="J71" s="84"/>
      <c r="S71" s="84"/>
    </row>
    <row r="72" spans="10:19">
      <c r="J72" s="84"/>
      <c r="S72" s="84"/>
    </row>
    <row r="73" spans="10:19">
      <c r="J73" s="84"/>
      <c r="S73" s="84"/>
    </row>
    <row r="74" spans="10:19">
      <c r="J74" s="84"/>
      <c r="S74" s="84"/>
    </row>
    <row r="75" spans="10:19">
      <c r="J75" s="84"/>
      <c r="S75" s="84"/>
    </row>
    <row r="76" spans="10:19">
      <c r="J76" s="84"/>
      <c r="S76" s="84"/>
    </row>
    <row r="77" spans="10:19">
      <c r="J77" s="84"/>
      <c r="S77" s="84"/>
    </row>
    <row r="78" spans="10:19">
      <c r="J78" s="84"/>
      <c r="S78" s="84"/>
    </row>
    <row r="79" spans="10:19">
      <c r="J79" s="84"/>
      <c r="S79" s="84"/>
    </row>
    <row r="80" spans="10:19">
      <c r="J80" s="84"/>
      <c r="S80" s="84"/>
    </row>
    <row r="81" spans="10:19">
      <c r="J81" s="84"/>
      <c r="S81" s="84"/>
    </row>
    <row r="82" spans="10:19">
      <c r="J82" s="84"/>
      <c r="S82" s="84"/>
    </row>
    <row r="83" spans="10:19">
      <c r="J83" s="84"/>
      <c r="S83" s="84"/>
    </row>
    <row r="84" spans="10:19">
      <c r="J84" s="84"/>
      <c r="S84" s="84"/>
    </row>
    <row r="85" spans="10:19">
      <c r="J85" s="84"/>
      <c r="S85" s="84"/>
    </row>
    <row r="86" spans="10:19">
      <c r="J86" s="84"/>
      <c r="S86" s="84"/>
    </row>
    <row r="87" spans="10:19">
      <c r="J87" s="84"/>
      <c r="S87" s="84"/>
    </row>
    <row r="88" spans="10:19">
      <c r="J88" s="84"/>
      <c r="S88" s="84"/>
    </row>
    <row r="89" spans="10:19">
      <c r="J89" s="84"/>
      <c r="S89" s="84"/>
    </row>
    <row r="90" spans="10:19">
      <c r="J90" s="84"/>
      <c r="S90" s="84"/>
    </row>
    <row r="91" spans="10:19">
      <c r="J91" s="84"/>
      <c r="S91" s="84"/>
    </row>
    <row r="92" spans="10:19">
      <c r="J92" s="84"/>
      <c r="S92" s="84"/>
    </row>
    <row r="93" spans="10:19">
      <c r="J93" s="84"/>
      <c r="S93" s="84"/>
    </row>
    <row r="94" spans="10:19">
      <c r="J94" s="84"/>
      <c r="S94" s="84"/>
    </row>
    <row r="95" spans="10:19">
      <c r="J95" s="84"/>
      <c r="S95" s="84"/>
    </row>
    <row r="96" spans="10:19">
      <c r="J96" s="84"/>
      <c r="S96" s="84"/>
    </row>
    <row r="97" spans="10:19">
      <c r="J97" s="84"/>
      <c r="S97" s="84"/>
    </row>
    <row r="98" spans="10:19">
      <c r="J98" s="84"/>
      <c r="S98" s="84"/>
    </row>
    <row r="99" spans="10:19">
      <c r="J99" s="84"/>
      <c r="S99" s="84"/>
    </row>
    <row r="100" spans="10:19">
      <c r="J100" s="84"/>
      <c r="S100" s="84"/>
    </row>
    <row r="101" spans="10:19">
      <c r="J101" s="84"/>
      <c r="S101" s="84"/>
    </row>
    <row r="102" spans="10:19">
      <c r="J102" s="84"/>
      <c r="S102" s="84"/>
    </row>
    <row r="103" spans="10:19">
      <c r="J103" s="84"/>
      <c r="S103" s="84"/>
    </row>
    <row r="104" spans="10:19">
      <c r="J104" s="84"/>
      <c r="S104" s="84"/>
    </row>
    <row r="105" spans="10:19">
      <c r="J105" s="84"/>
      <c r="S105" s="84"/>
    </row>
    <row r="106" spans="10:19">
      <c r="J106" s="84"/>
      <c r="S106" s="84"/>
    </row>
    <row r="107" spans="10:19">
      <c r="J107" s="84"/>
      <c r="S107" s="84"/>
    </row>
    <row r="108" spans="10:19">
      <c r="J108" s="84"/>
      <c r="S108" s="84"/>
    </row>
    <row r="109" spans="10:19">
      <c r="J109" s="84"/>
      <c r="S109" s="84"/>
    </row>
    <row r="110" spans="10:19">
      <c r="J110" s="84"/>
      <c r="S110" s="84"/>
    </row>
    <row r="111" spans="10:19">
      <c r="J111" s="84"/>
      <c r="S111" s="84"/>
    </row>
    <row r="112" spans="10:19">
      <c r="J112" s="84"/>
      <c r="S112" s="84"/>
    </row>
    <row r="113" spans="10:19">
      <c r="J113" s="84"/>
      <c r="S113" s="84"/>
    </row>
  </sheetData>
  <mergeCells count="1">
    <mergeCell ref="K1:Y1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300-000000000000}">
          <x14:formula1>
            <xm:f>'Intro and Instructions'!$D$17:$D$18</xm:f>
          </x14:formula1>
          <xm:sqref>D26:D47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Y50"/>
  <sheetViews>
    <sheetView zoomScaleNormal="100" workbookViewId="0">
      <selection activeCell="E5" sqref="E5"/>
    </sheetView>
  </sheetViews>
  <sheetFormatPr defaultRowHeight="15"/>
  <cols>
    <col min="1" max="1" width="10" bestFit="1" customWidth="1"/>
    <col min="2" max="2" width="10.42578125" bestFit="1" customWidth="1"/>
    <col min="3" max="3" width="10.7109375" bestFit="1" customWidth="1"/>
    <col min="5" max="5" width="9.85546875" bestFit="1" customWidth="1"/>
    <col min="6" max="6" width="10.28515625" bestFit="1" customWidth="1"/>
    <col min="7" max="7" width="11.7109375" customWidth="1"/>
  </cols>
  <sheetData>
    <row r="1" spans="1:25" ht="31.5">
      <c r="E1" s="45" t="s">
        <v>97</v>
      </c>
      <c r="K1" s="207" t="s">
        <v>82</v>
      </c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</row>
    <row r="2" spans="1:25">
      <c r="A2" s="40" t="s">
        <v>98</v>
      </c>
      <c r="B2" s="40" t="s">
        <v>99</v>
      </c>
      <c r="C2" s="40" t="s">
        <v>84</v>
      </c>
    </row>
    <row r="3" spans="1:25">
      <c r="A3" s="96">
        <f>'Trade Blotter'!S15</f>
        <v>5</v>
      </c>
      <c r="B3" s="96">
        <f>'Trade Blotter'!T15</f>
        <v>1.7441860465116279</v>
      </c>
      <c r="C3" s="94">
        <f>'Trade Blotter'!AB15</f>
        <v>150</v>
      </c>
      <c r="E3" s="208" t="s">
        <v>100</v>
      </c>
      <c r="F3" s="208"/>
    </row>
    <row r="4" spans="1:25">
      <c r="A4" s="96" t="e">
        <f>'Trade Blotter'!S16</f>
        <v>#DIV/0!</v>
      </c>
      <c r="B4" s="96" t="b">
        <f>'Trade Blotter'!T16</f>
        <v>0</v>
      </c>
      <c r="C4" s="94">
        <f>'Trade Blotter'!AB16</f>
        <v>-100</v>
      </c>
      <c r="E4" s="29" t="s">
        <v>101</v>
      </c>
      <c r="F4" s="29" t="s">
        <v>102</v>
      </c>
    </row>
    <row r="5" spans="1:25">
      <c r="A5" s="96" t="e">
        <f>'Trade Blotter'!S17</f>
        <v>#DIV/0!</v>
      </c>
      <c r="B5" s="96" t="e">
        <f>'Trade Blotter'!T17</f>
        <v>#DIV/0!</v>
      </c>
      <c r="C5" s="94">
        <f>'Trade Blotter'!AB17</f>
        <v>250</v>
      </c>
      <c r="E5" s="97" t="e">
        <f>AVERAGEIF(C3:C50,"&gt;0",A3:A50)</f>
        <v>#DIV/0!</v>
      </c>
      <c r="F5" s="97" t="e">
        <f>AVERAGEIF(C3:C50,"&gt;0",B3:B50)</f>
        <v>#DIV/0!</v>
      </c>
      <c r="G5" s="54" t="e">
        <f>IF(F5&lt;(0.9*E5), "Aim to run trades to full profit", "Good Work on Maximizing Profit")</f>
        <v>#DIV/0!</v>
      </c>
    </row>
    <row r="6" spans="1:25">
      <c r="A6" s="96" t="e">
        <f>'Trade Blotter'!S18</f>
        <v>#DIV/0!</v>
      </c>
      <c r="B6" s="96" t="b">
        <f>'Trade Blotter'!T18</f>
        <v>0</v>
      </c>
      <c r="C6" s="94">
        <f>'Trade Blotter'!AB18</f>
        <v>-150</v>
      </c>
    </row>
    <row r="7" spans="1:25">
      <c r="A7" s="96" t="e">
        <f>'Trade Blotter'!S19</f>
        <v>#DIV/0!</v>
      </c>
      <c r="B7" s="96" t="b">
        <f>'Trade Blotter'!T19</f>
        <v>0</v>
      </c>
      <c r="C7" s="94">
        <f>'Trade Blotter'!AB19</f>
        <v>-200</v>
      </c>
    </row>
    <row r="8" spans="1:25">
      <c r="A8" s="96" t="e">
        <f>'Trade Blotter'!S20</f>
        <v>#DIV/0!</v>
      </c>
      <c r="B8" s="96" t="b">
        <f>'Trade Blotter'!T20</f>
        <v>0</v>
      </c>
      <c r="C8" s="94">
        <f>'Trade Blotter'!AB20</f>
        <v>0</v>
      </c>
    </row>
    <row r="9" spans="1:25">
      <c r="A9" s="96" t="e">
        <f>'Trade Blotter'!S21</f>
        <v>#DIV/0!</v>
      </c>
      <c r="B9" s="96" t="b">
        <f>'Trade Blotter'!T21</f>
        <v>0</v>
      </c>
      <c r="C9" s="94">
        <f>'Trade Blotter'!AB21</f>
        <v>0</v>
      </c>
    </row>
    <row r="10" spans="1:25">
      <c r="A10" s="96" t="e">
        <f>'Trade Blotter'!S22</f>
        <v>#DIV/0!</v>
      </c>
      <c r="B10" s="96" t="b">
        <f>'Trade Blotter'!T22</f>
        <v>0</v>
      </c>
      <c r="C10" s="94">
        <f>'Trade Blotter'!AB22</f>
        <v>0</v>
      </c>
    </row>
    <row r="11" spans="1:25">
      <c r="A11" s="96" t="e">
        <f>'Trade Blotter'!S23</f>
        <v>#DIV/0!</v>
      </c>
      <c r="B11" s="96" t="b">
        <f>'Trade Blotter'!T23</f>
        <v>0</v>
      </c>
      <c r="C11" s="94">
        <f>'Trade Blotter'!AB23</f>
        <v>0</v>
      </c>
    </row>
    <row r="12" spans="1:25">
      <c r="A12" s="96" t="e">
        <f>'Trade Blotter'!S24</f>
        <v>#DIV/0!</v>
      </c>
      <c r="B12" s="96" t="b">
        <f>'Trade Blotter'!T25</f>
        <v>0</v>
      </c>
      <c r="C12" s="94">
        <f>'Trade Blotter'!AB25</f>
        <v>0</v>
      </c>
    </row>
    <row r="13" spans="1:25">
      <c r="A13" s="96" t="e">
        <f>'Trade Blotter'!S26</f>
        <v>#DIV/0!</v>
      </c>
      <c r="B13" s="96" t="b">
        <f>'Trade Blotter'!T26</f>
        <v>0</v>
      </c>
      <c r="C13" s="94">
        <f>'Trade Blotter'!AB26</f>
        <v>0</v>
      </c>
    </row>
    <row r="14" spans="1:25">
      <c r="A14" s="96" t="e">
        <f>'Trade Blotter'!S27</f>
        <v>#DIV/0!</v>
      </c>
      <c r="B14" s="96" t="b">
        <f>'Trade Blotter'!T27</f>
        <v>0</v>
      </c>
      <c r="C14" s="94">
        <f>'Trade Blotter'!AB27</f>
        <v>0</v>
      </c>
    </row>
    <row r="15" spans="1:25">
      <c r="A15" s="96" t="e">
        <f>'Trade Blotter'!S28</f>
        <v>#DIV/0!</v>
      </c>
      <c r="B15" s="96" t="b">
        <f>'Trade Blotter'!T28</f>
        <v>0</v>
      </c>
      <c r="C15" s="94">
        <f>'Trade Blotter'!AB28</f>
        <v>0</v>
      </c>
    </row>
    <row r="16" spans="1:25">
      <c r="A16" s="96" t="e">
        <f>'Trade Blotter'!S29</f>
        <v>#DIV/0!</v>
      </c>
      <c r="B16" s="96" t="b">
        <f>'Trade Blotter'!T29</f>
        <v>0</v>
      </c>
      <c r="C16" s="94">
        <f>'Trade Blotter'!AB29</f>
        <v>0</v>
      </c>
    </row>
    <row r="17" spans="1:3">
      <c r="A17" s="96" t="e">
        <f>'Trade Blotter'!S30</f>
        <v>#DIV/0!</v>
      </c>
      <c r="B17" s="96" t="b">
        <f>'Trade Blotter'!T30</f>
        <v>0</v>
      </c>
      <c r="C17" s="94">
        <f>'Trade Blotter'!AB30</f>
        <v>0</v>
      </c>
    </row>
    <row r="18" spans="1:3">
      <c r="A18" s="96" t="e">
        <f>'Trade Blotter'!S31</f>
        <v>#DIV/0!</v>
      </c>
      <c r="B18" s="96" t="b">
        <f>'Trade Blotter'!T31</f>
        <v>0</v>
      </c>
      <c r="C18" s="94">
        <f>'Trade Blotter'!AB31</f>
        <v>0</v>
      </c>
    </row>
    <row r="19" spans="1:3">
      <c r="A19" s="96" t="e">
        <f>'Trade Blotter'!S32</f>
        <v>#DIV/0!</v>
      </c>
      <c r="B19" s="96" t="b">
        <f>'Trade Blotter'!T32</f>
        <v>0</v>
      </c>
      <c r="C19" s="94">
        <f>'Trade Blotter'!AB32</f>
        <v>0</v>
      </c>
    </row>
    <row r="20" spans="1:3">
      <c r="A20" s="96" t="e">
        <f>'Trade Blotter'!S33</f>
        <v>#DIV/0!</v>
      </c>
      <c r="B20" s="96" t="b">
        <f>'Trade Blotter'!T33</f>
        <v>0</v>
      </c>
      <c r="C20" s="94">
        <f>'Trade Blotter'!AB33</f>
        <v>0</v>
      </c>
    </row>
    <row r="21" spans="1:3">
      <c r="A21" s="96" t="e">
        <f>'Trade Blotter'!S34</f>
        <v>#DIV/0!</v>
      </c>
      <c r="B21" s="96" t="b">
        <f>'Trade Blotter'!T34</f>
        <v>0</v>
      </c>
      <c r="C21" s="94">
        <f>'Trade Blotter'!AB34</f>
        <v>0</v>
      </c>
    </row>
    <row r="22" spans="1:3">
      <c r="A22" s="96" t="e">
        <f>'Trade Blotter'!S35</f>
        <v>#DIV/0!</v>
      </c>
      <c r="B22" s="96" t="b">
        <f>'Trade Blotter'!T35</f>
        <v>0</v>
      </c>
      <c r="C22" s="94">
        <f>'Trade Blotter'!AB35</f>
        <v>0</v>
      </c>
    </row>
    <row r="23" spans="1:3">
      <c r="A23" s="96" t="e">
        <f>'Trade Blotter'!S36</f>
        <v>#DIV/0!</v>
      </c>
      <c r="B23" s="96" t="b">
        <f>'Trade Blotter'!T36</f>
        <v>0</v>
      </c>
      <c r="C23" s="94">
        <f>'Trade Blotter'!AB36</f>
        <v>0</v>
      </c>
    </row>
    <row r="24" spans="1:3">
      <c r="A24" s="96" t="e">
        <f>'Trade Blotter'!S37</f>
        <v>#DIV/0!</v>
      </c>
      <c r="B24" s="96" t="b">
        <f>'Trade Blotter'!T37</f>
        <v>0</v>
      </c>
      <c r="C24" s="94">
        <f>'Trade Blotter'!AB37</f>
        <v>0</v>
      </c>
    </row>
    <row r="25" spans="1:3">
      <c r="A25" s="96" t="e">
        <f>'Trade Blotter'!S38</f>
        <v>#DIV/0!</v>
      </c>
      <c r="B25" s="96" t="b">
        <f>'Trade Blotter'!T38</f>
        <v>0</v>
      </c>
      <c r="C25" s="94">
        <f>'Trade Blotter'!AB38</f>
        <v>0</v>
      </c>
    </row>
    <row r="26" spans="1:3">
      <c r="A26" s="96" t="e">
        <f>'Trade Blotter'!S39</f>
        <v>#DIV/0!</v>
      </c>
      <c r="B26" s="96" t="b">
        <f>'Trade Blotter'!T39</f>
        <v>0</v>
      </c>
      <c r="C26" s="94">
        <f>'Trade Blotter'!AB39</f>
        <v>0</v>
      </c>
    </row>
    <row r="27" spans="1:3">
      <c r="A27" s="96" t="e">
        <f>'Trade Blotter'!S40</f>
        <v>#DIV/0!</v>
      </c>
      <c r="B27" s="96" t="b">
        <f>'Trade Blotter'!T40</f>
        <v>0</v>
      </c>
      <c r="C27" s="94">
        <f>'Trade Blotter'!AB40</f>
        <v>0</v>
      </c>
    </row>
    <row r="28" spans="1:3">
      <c r="A28" s="96" t="e">
        <f>'Trade Blotter'!S41</f>
        <v>#DIV/0!</v>
      </c>
      <c r="B28" s="96" t="b">
        <f>'Trade Blotter'!T41</f>
        <v>0</v>
      </c>
      <c r="C28" s="94">
        <f>'Trade Blotter'!AB41</f>
        <v>0</v>
      </c>
    </row>
    <row r="29" spans="1:3">
      <c r="A29" s="96" t="e">
        <f>'Trade Blotter'!S42</f>
        <v>#DIV/0!</v>
      </c>
      <c r="B29" s="96" t="b">
        <f>'Trade Blotter'!T42</f>
        <v>0</v>
      </c>
      <c r="C29" s="94">
        <f>'Trade Blotter'!AB42</f>
        <v>0</v>
      </c>
    </row>
    <row r="30" spans="1:3">
      <c r="A30" s="96" t="e">
        <f>'Trade Blotter'!S43</f>
        <v>#DIV/0!</v>
      </c>
      <c r="B30" s="96" t="b">
        <f>'Trade Blotter'!T43</f>
        <v>0</v>
      </c>
      <c r="C30" s="94">
        <f>'Trade Blotter'!AB43</f>
        <v>0</v>
      </c>
    </row>
    <row r="31" spans="1:3">
      <c r="A31" s="96" t="e">
        <f>'Trade Blotter'!S44</f>
        <v>#DIV/0!</v>
      </c>
      <c r="B31" s="96" t="b">
        <f>'Trade Blotter'!T44</f>
        <v>0</v>
      </c>
      <c r="C31" s="94">
        <f>'Trade Blotter'!AB44</f>
        <v>0</v>
      </c>
    </row>
    <row r="32" spans="1:3">
      <c r="A32" s="96" t="e">
        <f>'Trade Blotter'!S45</f>
        <v>#DIV/0!</v>
      </c>
      <c r="B32" s="96" t="b">
        <f>'Trade Blotter'!T45</f>
        <v>0</v>
      </c>
      <c r="C32" s="94">
        <f>'Trade Blotter'!AB45</f>
        <v>0</v>
      </c>
    </row>
    <row r="33" spans="1:3">
      <c r="A33" s="96" t="e">
        <f>'Trade Blotter'!S46</f>
        <v>#DIV/0!</v>
      </c>
      <c r="B33" s="96" t="b">
        <f>'Trade Blotter'!T46</f>
        <v>0</v>
      </c>
      <c r="C33" s="94">
        <f>'Trade Blotter'!AB46</f>
        <v>0</v>
      </c>
    </row>
    <row r="34" spans="1:3">
      <c r="A34" s="96" t="e">
        <f>'Trade Blotter'!S47</f>
        <v>#DIV/0!</v>
      </c>
      <c r="B34" s="96" t="b">
        <f>'Trade Blotter'!T47</f>
        <v>0</v>
      </c>
      <c r="C34" s="94">
        <f>'Trade Blotter'!AB47</f>
        <v>0</v>
      </c>
    </row>
    <row r="35" spans="1:3">
      <c r="A35" s="96" t="e">
        <f>'Trade Blotter'!S48</f>
        <v>#DIV/0!</v>
      </c>
      <c r="B35" s="96" t="b">
        <f>'Trade Blotter'!T48</f>
        <v>0</v>
      </c>
      <c r="C35" s="94">
        <f>'Trade Blotter'!AB48</f>
        <v>0</v>
      </c>
    </row>
    <row r="36" spans="1:3">
      <c r="A36" s="96" t="e">
        <f>'Trade Blotter'!S49</f>
        <v>#DIV/0!</v>
      </c>
      <c r="B36" s="96" t="b">
        <f>'Trade Blotter'!T49</f>
        <v>0</v>
      </c>
      <c r="C36" s="94">
        <f>'Trade Blotter'!AB49</f>
        <v>0</v>
      </c>
    </row>
    <row r="37" spans="1:3">
      <c r="A37" s="96" t="e">
        <f>'Trade Blotter'!S50</f>
        <v>#DIV/0!</v>
      </c>
      <c r="B37" s="96" t="b">
        <f>'Trade Blotter'!T50</f>
        <v>0</v>
      </c>
      <c r="C37" s="94">
        <f>'Trade Blotter'!AB50</f>
        <v>0</v>
      </c>
    </row>
    <row r="38" spans="1:3">
      <c r="A38" s="96" t="e">
        <f>'Trade Blotter'!S51</f>
        <v>#DIV/0!</v>
      </c>
      <c r="B38" s="96" t="b">
        <f>'Trade Blotter'!T51</f>
        <v>0</v>
      </c>
      <c r="C38" s="94">
        <f>'Trade Blotter'!AB51</f>
        <v>0</v>
      </c>
    </row>
    <row r="39" spans="1:3">
      <c r="A39" s="96" t="e">
        <f>'Trade Blotter'!S52</f>
        <v>#DIV/0!</v>
      </c>
      <c r="B39" s="96" t="b">
        <f>'Trade Blotter'!T52</f>
        <v>0</v>
      </c>
      <c r="C39" s="94">
        <f>'Trade Blotter'!AB52</f>
        <v>0</v>
      </c>
    </row>
    <row r="40" spans="1:3">
      <c r="A40" s="96" t="e">
        <f>'Trade Blotter'!S53</f>
        <v>#DIV/0!</v>
      </c>
      <c r="B40" s="96" t="b">
        <f>'Trade Blotter'!T53</f>
        <v>0</v>
      </c>
      <c r="C40" s="94">
        <f>'Trade Blotter'!AB53</f>
        <v>0</v>
      </c>
    </row>
    <row r="41" spans="1:3">
      <c r="A41" s="96" t="e">
        <f>'Trade Blotter'!S54</f>
        <v>#DIV/0!</v>
      </c>
      <c r="B41" s="96" t="b">
        <f>'Trade Blotter'!T54</f>
        <v>0</v>
      </c>
      <c r="C41" s="94">
        <f>'Trade Blotter'!AB54</f>
        <v>0</v>
      </c>
    </row>
    <row r="42" spans="1:3">
      <c r="A42" s="96" t="e">
        <f>'Trade Blotter'!S55</f>
        <v>#DIV/0!</v>
      </c>
      <c r="B42" s="96" t="b">
        <f>'Trade Blotter'!T55</f>
        <v>0</v>
      </c>
      <c r="C42" s="94">
        <f>'Trade Blotter'!AB55</f>
        <v>0</v>
      </c>
    </row>
    <row r="43" spans="1:3">
      <c r="A43" s="96" t="e">
        <f>'Trade Blotter'!S56</f>
        <v>#DIV/0!</v>
      </c>
      <c r="B43" s="96" t="b">
        <f>'Trade Blotter'!T56</f>
        <v>0</v>
      </c>
      <c r="C43" s="94">
        <f>'Trade Blotter'!AB56</f>
        <v>0</v>
      </c>
    </row>
    <row r="44" spans="1:3">
      <c r="A44" s="96" t="e">
        <f>'Trade Blotter'!S57</f>
        <v>#DIV/0!</v>
      </c>
      <c r="B44" s="96" t="b">
        <f>'Trade Blotter'!T57</f>
        <v>0</v>
      </c>
      <c r="C44" s="94">
        <f>'Trade Blotter'!AB57</f>
        <v>0</v>
      </c>
    </row>
    <row r="45" spans="1:3">
      <c r="A45" s="96" t="e">
        <f>'Trade Blotter'!S58</f>
        <v>#DIV/0!</v>
      </c>
      <c r="B45" s="96" t="b">
        <f>'Trade Blotter'!T58</f>
        <v>0</v>
      </c>
      <c r="C45" s="94">
        <f>'Trade Blotter'!AB58</f>
        <v>0</v>
      </c>
    </row>
    <row r="46" spans="1:3">
      <c r="A46" s="96" t="e">
        <f>'Trade Blotter'!S59</f>
        <v>#DIV/0!</v>
      </c>
      <c r="B46" s="96" t="b">
        <f>'Trade Blotter'!T59</f>
        <v>0</v>
      </c>
      <c r="C46" s="94">
        <f>'Trade Blotter'!AB59</f>
        <v>0</v>
      </c>
    </row>
    <row r="47" spans="1:3">
      <c r="A47" s="96" t="e">
        <f>'Trade Blotter'!S60</f>
        <v>#DIV/0!</v>
      </c>
      <c r="B47" s="96" t="b">
        <f>'Trade Blotter'!T60</f>
        <v>0</v>
      </c>
      <c r="C47" s="94">
        <f>'Trade Blotter'!AB60</f>
        <v>0</v>
      </c>
    </row>
    <row r="48" spans="1:3">
      <c r="A48" s="96" t="e">
        <f>'Trade Blotter'!S61</f>
        <v>#DIV/0!</v>
      </c>
      <c r="B48" s="96" t="b">
        <f>'Trade Blotter'!T61</f>
        <v>0</v>
      </c>
      <c r="C48" s="94">
        <f>'Trade Blotter'!AB61</f>
        <v>0</v>
      </c>
    </row>
    <row r="49" spans="1:3">
      <c r="A49" s="96" t="e">
        <f>'Trade Blotter'!S62</f>
        <v>#DIV/0!</v>
      </c>
      <c r="B49" s="96" t="b">
        <f>'Trade Blotter'!T62</f>
        <v>0</v>
      </c>
      <c r="C49" s="94">
        <f>'Trade Blotter'!AB62</f>
        <v>0</v>
      </c>
    </row>
    <row r="50" spans="1:3">
      <c r="A50" s="96">
        <f>'Trade Blotter'!S63</f>
        <v>0</v>
      </c>
      <c r="B50" s="96">
        <f>'Trade Blotter'!T63</f>
        <v>0</v>
      </c>
      <c r="C50" s="94">
        <f>'Trade Blotter'!AB63</f>
        <v>0</v>
      </c>
    </row>
  </sheetData>
  <mergeCells count="2">
    <mergeCell ref="E3:F3"/>
    <mergeCell ref="K1:Y1"/>
  </mergeCells>
  <conditionalFormatting sqref="G5">
    <cfRule type="expression" dxfId="0" priority="2">
      <formula>$F$5&gt;0</formula>
    </cfRule>
  </conditionalFormatting>
  <pageMargins left="0.7" right="0.7" top="0.75" bottom="0.75" header="0.3" footer="0.3"/>
  <ignoredErrors>
    <ignoredError sqref="A3" evalError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A1:AA84"/>
  <sheetViews>
    <sheetView zoomScale="80" zoomScaleNormal="80" workbookViewId="0">
      <selection activeCell="H34" sqref="H34"/>
    </sheetView>
  </sheetViews>
  <sheetFormatPr defaultRowHeight="15"/>
  <cols>
    <col min="1" max="1" width="10.85546875" style="49" customWidth="1"/>
    <col min="2" max="2" width="11" bestFit="1" customWidth="1"/>
    <col min="4" max="4" width="13.5703125" style="49" bestFit="1" customWidth="1"/>
    <col min="5" max="5" width="10.42578125" style="50" customWidth="1"/>
    <col min="6" max="6" width="10.42578125" customWidth="1"/>
    <col min="7" max="7" width="10.42578125" style="50" customWidth="1"/>
    <col min="8" max="8" width="10.42578125" customWidth="1"/>
    <col min="9" max="9" width="10.42578125" style="50" customWidth="1"/>
    <col min="10" max="10" width="10.42578125" customWidth="1"/>
  </cols>
  <sheetData>
    <row r="1" spans="1:27" ht="31.5">
      <c r="D1"/>
      <c r="E1" s="45" t="s">
        <v>103</v>
      </c>
      <c r="G1"/>
      <c r="I1"/>
      <c r="M1" s="207" t="s">
        <v>82</v>
      </c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</row>
    <row r="2" spans="1:27">
      <c r="A2" t="s">
        <v>80</v>
      </c>
      <c r="D2"/>
      <c r="E2"/>
      <c r="G2"/>
      <c r="I2"/>
    </row>
    <row r="3" spans="1:27">
      <c r="A3" s="40" t="s">
        <v>104</v>
      </c>
      <c r="B3" s="40" t="s">
        <v>84</v>
      </c>
      <c r="D3"/>
      <c r="E3"/>
      <c r="G3"/>
      <c r="I3"/>
    </row>
    <row r="4" spans="1:27">
      <c r="A4" s="98" t="str">
        <f>'Trade Blotter'!A15</f>
        <v>EURUSD</v>
      </c>
      <c r="B4" s="94">
        <f>'Trade Blotter'!AB15</f>
        <v>150</v>
      </c>
      <c r="D4" s="40" t="s">
        <v>104</v>
      </c>
      <c r="E4" s="209" t="s">
        <v>105</v>
      </c>
      <c r="F4" s="209"/>
      <c r="G4" s="209" t="s">
        <v>106</v>
      </c>
      <c r="H4" s="209"/>
      <c r="I4" s="209" t="s">
        <v>107</v>
      </c>
      <c r="J4" s="209"/>
    </row>
    <row r="5" spans="1:27">
      <c r="A5" s="98">
        <f>'Trade Blotter'!A16</f>
        <v>0</v>
      </c>
      <c r="B5" s="94">
        <f>'Trade Blotter'!AB16</f>
        <v>-100</v>
      </c>
      <c r="D5" s="42"/>
      <c r="E5" s="91" t="s">
        <v>108</v>
      </c>
      <c r="F5" s="91" t="s">
        <v>109</v>
      </c>
      <c r="G5" s="91" t="s">
        <v>108</v>
      </c>
      <c r="H5" s="91" t="s">
        <v>109</v>
      </c>
      <c r="I5" s="91" t="s">
        <v>108</v>
      </c>
      <c r="J5" s="91" t="s">
        <v>109</v>
      </c>
    </row>
    <row r="6" spans="1:27">
      <c r="A6" s="98">
        <f>'Trade Blotter'!A17</f>
        <v>0</v>
      </c>
      <c r="B6" s="94">
        <f>'Trade Blotter'!AB17</f>
        <v>250</v>
      </c>
      <c r="D6" s="98" t="str">
        <f t="array" ref="D6">IFERROR(INDEX($A$4:$A$60, MATCH(0,COUNTIF($D$5:D5, $A$4:$A$60), 0)),"")</f>
        <v>EURUSD</v>
      </c>
      <c r="E6" s="99">
        <f>SUMIFS(B$4:B$60,A$4:A$60,D6,B$4:B$60,"&gt;0")</f>
        <v>150</v>
      </c>
      <c r="F6" s="100">
        <f>COUNTIFS(A$4:A$60,D6,B$4:B$60,"&gt;0")</f>
        <v>1</v>
      </c>
      <c r="G6" s="99">
        <f>SUMIFS(B$4:B$60,A$4:A$60,D6,B$4:B$60,"&lt;0")</f>
        <v>0</v>
      </c>
      <c r="H6" s="100">
        <f>COUNTIFS(A$4:A$60,D6,B$4:B$60,"&lt;0")</f>
        <v>0</v>
      </c>
      <c r="I6" s="99">
        <f>SUMIFS(B$4:B$60,A$4:A$60,D6)</f>
        <v>150</v>
      </c>
      <c r="J6" s="100">
        <f>COUNTIF(A$4:A$60,D6)</f>
        <v>1</v>
      </c>
    </row>
    <row r="7" spans="1:27">
      <c r="A7" s="98">
        <f>'Trade Blotter'!A18</f>
        <v>0</v>
      </c>
      <c r="B7" s="94">
        <f>'Trade Blotter'!AB18</f>
        <v>-150</v>
      </c>
      <c r="D7" s="98">
        <f t="array" ref="D7">IFERROR(INDEX($A$4:$A$60, MATCH(0,COUNTIF($D$5:D6, $A$4:$A$60), 0)),"")</f>
        <v>0</v>
      </c>
      <c r="E7" s="99">
        <f t="shared" ref="E7:E26" si="0">SUMIFS(B$4:B$60,A$4:A$60,D7,B$4:B$60,"&gt;0")</f>
        <v>250</v>
      </c>
      <c r="F7" s="100">
        <f t="shared" ref="F7:F26" si="1">COUNTIFS(A$4:A$60,D7,B$4:B$60,"&gt;0")</f>
        <v>1</v>
      </c>
      <c r="G7" s="99">
        <f t="shared" ref="G7:G26" si="2">SUMIFS(B$4:B$60,A$4:A$60,D7,B$4:B$60,"&lt;0")</f>
        <v>-450</v>
      </c>
      <c r="H7" s="100">
        <f t="shared" ref="H7:H26" si="3">COUNTIFS(A$4:A$60,D7,B$4:B$60,"&lt;0")</f>
        <v>3</v>
      </c>
      <c r="I7" s="99">
        <f t="shared" ref="I7:I26" si="4">SUMIFS(B$4:B$60,A$4:A$60,D7)</f>
        <v>-200</v>
      </c>
      <c r="J7" s="100">
        <f t="shared" ref="J7:J26" si="5">COUNTIF(A$4:A$60,D7)</f>
        <v>49</v>
      </c>
    </row>
    <row r="8" spans="1:27">
      <c r="A8" s="98">
        <f>'Trade Blotter'!A19</f>
        <v>0</v>
      </c>
      <c r="B8" s="94">
        <f>'Trade Blotter'!AB19</f>
        <v>-200</v>
      </c>
      <c r="D8" s="98" t="str">
        <f t="array" ref="D8">IFERROR(INDEX($A$4:$A$60, MATCH(0,COUNTIF($D$5:D7, $A$4:$A$60), 0)),"")</f>
        <v/>
      </c>
      <c r="E8" s="99">
        <f t="shared" si="0"/>
        <v>0</v>
      </c>
      <c r="F8" s="100">
        <f t="shared" si="1"/>
        <v>0</v>
      </c>
      <c r="G8" s="99">
        <f t="shared" si="2"/>
        <v>0</v>
      </c>
      <c r="H8" s="100">
        <f t="shared" si="3"/>
        <v>0</v>
      </c>
      <c r="I8" s="99">
        <f t="shared" si="4"/>
        <v>0</v>
      </c>
      <c r="J8" s="100">
        <f t="shared" si="5"/>
        <v>0</v>
      </c>
    </row>
    <row r="9" spans="1:27">
      <c r="A9" s="98">
        <f>'Trade Blotter'!A20</f>
        <v>0</v>
      </c>
      <c r="B9" s="94">
        <f>'Trade Blotter'!AB20</f>
        <v>0</v>
      </c>
      <c r="D9" s="98" t="str">
        <f t="array" ref="D9">IFERROR(INDEX($A$4:$A$60, MATCH(0,COUNTIF($D$5:D8, $A$4:$A$60), 0)),"")</f>
        <v/>
      </c>
      <c r="E9" s="99">
        <f t="shared" si="0"/>
        <v>0</v>
      </c>
      <c r="F9" s="100">
        <f t="shared" si="1"/>
        <v>0</v>
      </c>
      <c r="G9" s="99">
        <f t="shared" si="2"/>
        <v>0</v>
      </c>
      <c r="H9" s="100">
        <f t="shared" si="3"/>
        <v>0</v>
      </c>
      <c r="I9" s="99">
        <f t="shared" si="4"/>
        <v>0</v>
      </c>
      <c r="J9" s="100">
        <f t="shared" si="5"/>
        <v>0</v>
      </c>
    </row>
    <row r="10" spans="1:27">
      <c r="A10" s="98">
        <f>'Trade Blotter'!A21</f>
        <v>0</v>
      </c>
      <c r="B10" s="94">
        <f>'Trade Blotter'!AB21</f>
        <v>0</v>
      </c>
      <c r="D10" s="98" t="str">
        <f t="array" ref="D10">IFERROR(INDEX($A$4:$A$60, MATCH(0,COUNTIF($D$5:D9, $A$4:$A$60), 0)),"")</f>
        <v/>
      </c>
      <c r="E10" s="99">
        <f t="shared" si="0"/>
        <v>0</v>
      </c>
      <c r="F10" s="100">
        <f t="shared" si="1"/>
        <v>0</v>
      </c>
      <c r="G10" s="99">
        <f t="shared" si="2"/>
        <v>0</v>
      </c>
      <c r="H10" s="100">
        <f t="shared" si="3"/>
        <v>0</v>
      </c>
      <c r="I10" s="99">
        <f t="shared" si="4"/>
        <v>0</v>
      </c>
      <c r="J10" s="100">
        <f t="shared" si="5"/>
        <v>0</v>
      </c>
    </row>
    <row r="11" spans="1:27">
      <c r="A11" s="98">
        <f>'Trade Blotter'!A22</f>
        <v>0</v>
      </c>
      <c r="B11" s="94">
        <f>'Trade Blotter'!AB22</f>
        <v>0</v>
      </c>
      <c r="D11" s="98" t="str">
        <f t="array" ref="D11">IFERROR(INDEX($A$4:$A$60, MATCH(0,COUNTIF($D$5:D10, $A$4:$A$60), 0)),"")</f>
        <v/>
      </c>
      <c r="E11" s="99">
        <f t="shared" si="0"/>
        <v>0</v>
      </c>
      <c r="F11" s="100">
        <f t="shared" si="1"/>
        <v>0</v>
      </c>
      <c r="G11" s="99">
        <f t="shared" si="2"/>
        <v>0</v>
      </c>
      <c r="H11" s="100">
        <f t="shared" si="3"/>
        <v>0</v>
      </c>
      <c r="I11" s="99">
        <f t="shared" si="4"/>
        <v>0</v>
      </c>
      <c r="J11" s="100">
        <v>0</v>
      </c>
    </row>
    <row r="12" spans="1:27">
      <c r="A12" s="98">
        <f>'Trade Blotter'!A23</f>
        <v>0</v>
      </c>
      <c r="B12" s="94">
        <f>'Trade Blotter'!AB23</f>
        <v>0</v>
      </c>
      <c r="D12" s="98" t="str">
        <f t="array" ref="D12">IFERROR(INDEX($A$4:$A$60, MATCH(0,COUNTIF($D$5:D11, $A$4:$A$60), 0)),"")</f>
        <v/>
      </c>
      <c r="E12" s="99">
        <f t="shared" si="0"/>
        <v>0</v>
      </c>
      <c r="F12" s="100">
        <f t="shared" si="1"/>
        <v>0</v>
      </c>
      <c r="G12" s="99">
        <f t="shared" si="2"/>
        <v>0</v>
      </c>
      <c r="H12" s="100">
        <f t="shared" si="3"/>
        <v>0</v>
      </c>
      <c r="I12" s="99">
        <f t="shared" si="4"/>
        <v>0</v>
      </c>
      <c r="J12" s="100">
        <f t="shared" si="5"/>
        <v>0</v>
      </c>
    </row>
    <row r="13" spans="1:27">
      <c r="A13" s="98">
        <f>'Trade Blotter'!A24</f>
        <v>0</v>
      </c>
      <c r="B13" s="94">
        <f>'Trade Blotter'!AB24</f>
        <v>0</v>
      </c>
      <c r="D13" s="98" t="str">
        <f t="array" ref="D13">IFERROR(INDEX($A$4:$A$60, MATCH(0,COUNTIF($D$5:D12, $A$4:$A$60), 0)),"")</f>
        <v/>
      </c>
      <c r="E13" s="99">
        <f t="shared" si="0"/>
        <v>0</v>
      </c>
      <c r="F13" s="100">
        <f t="shared" si="1"/>
        <v>0</v>
      </c>
      <c r="G13" s="99">
        <f t="shared" si="2"/>
        <v>0</v>
      </c>
      <c r="H13" s="100">
        <f t="shared" si="3"/>
        <v>0</v>
      </c>
      <c r="I13" s="99">
        <f t="shared" si="4"/>
        <v>0</v>
      </c>
      <c r="J13" s="100">
        <f t="shared" si="5"/>
        <v>0</v>
      </c>
    </row>
    <row r="14" spans="1:27">
      <c r="A14" s="98">
        <f>'Trade Blotter'!A25</f>
        <v>0</v>
      </c>
      <c r="B14" s="94">
        <f>'Trade Blotter'!AB25</f>
        <v>0</v>
      </c>
      <c r="D14" s="98" t="str">
        <f t="array" ref="D14">IFERROR(INDEX($A$4:$A$60, MATCH(0,COUNTIF($D$5:D13, $A$4:$A$60), 0)),"")</f>
        <v/>
      </c>
      <c r="E14" s="99">
        <f t="shared" si="0"/>
        <v>0</v>
      </c>
      <c r="F14" s="100">
        <f t="shared" si="1"/>
        <v>0</v>
      </c>
      <c r="G14" s="99">
        <f t="shared" si="2"/>
        <v>0</v>
      </c>
      <c r="H14" s="100">
        <f t="shared" si="3"/>
        <v>0</v>
      </c>
      <c r="I14" s="99">
        <f t="shared" si="4"/>
        <v>0</v>
      </c>
      <c r="J14" s="100">
        <f t="shared" si="5"/>
        <v>0</v>
      </c>
    </row>
    <row r="15" spans="1:27">
      <c r="A15" s="98">
        <f>'Trade Blotter'!A24</f>
        <v>0</v>
      </c>
      <c r="B15" s="94">
        <f>'Trade Blotter'!AB26</f>
        <v>0</v>
      </c>
      <c r="D15" s="98" t="str">
        <f t="array" ref="D15">IFERROR(INDEX($A$4:$A$60, MATCH(0,COUNTIF($D$5:D14, $A$4:$A$60), 0)),"")</f>
        <v/>
      </c>
      <c r="E15" s="99">
        <f t="shared" si="0"/>
        <v>0</v>
      </c>
      <c r="F15" s="100">
        <f t="shared" si="1"/>
        <v>0</v>
      </c>
      <c r="G15" s="99">
        <f t="shared" si="2"/>
        <v>0</v>
      </c>
      <c r="H15" s="100">
        <f t="shared" si="3"/>
        <v>0</v>
      </c>
      <c r="I15" s="99">
        <f t="shared" si="4"/>
        <v>0</v>
      </c>
      <c r="J15" s="100">
        <f t="shared" si="5"/>
        <v>0</v>
      </c>
    </row>
    <row r="16" spans="1:27">
      <c r="A16" s="98">
        <f>'Trade Blotter'!A25</f>
        <v>0</v>
      </c>
      <c r="B16" s="94">
        <f>'Trade Blotter'!AB25</f>
        <v>0</v>
      </c>
      <c r="D16" s="98" t="str">
        <f t="array" ref="D16">IFERROR(INDEX($A$4:$A$60, MATCH(0,COUNTIF($D$5:D15, $A$4:$A$60), 0)),"")</f>
        <v/>
      </c>
      <c r="E16" s="99">
        <f t="shared" si="0"/>
        <v>0</v>
      </c>
      <c r="F16" s="100">
        <f t="shared" si="1"/>
        <v>0</v>
      </c>
      <c r="G16" s="99">
        <f t="shared" si="2"/>
        <v>0</v>
      </c>
      <c r="H16" s="100">
        <f t="shared" si="3"/>
        <v>0</v>
      </c>
      <c r="I16" s="99">
        <f t="shared" si="4"/>
        <v>0</v>
      </c>
      <c r="J16" s="100">
        <f t="shared" si="5"/>
        <v>0</v>
      </c>
    </row>
    <row r="17" spans="1:10">
      <c r="A17" s="98">
        <f>'Trade Blotter'!A26</f>
        <v>0</v>
      </c>
      <c r="B17" s="94">
        <f>'Trade Blotter'!AB26</f>
        <v>0</v>
      </c>
      <c r="D17" s="98" t="str">
        <f t="array" ref="D17">IFERROR(INDEX($A$4:$A$60, MATCH(0,COUNTIF($D$5:D16, $A$4:$A$60), 0)),"")</f>
        <v/>
      </c>
      <c r="E17" s="99">
        <f t="shared" si="0"/>
        <v>0</v>
      </c>
      <c r="F17" s="100">
        <f t="shared" si="1"/>
        <v>0</v>
      </c>
      <c r="G17" s="99">
        <f t="shared" si="2"/>
        <v>0</v>
      </c>
      <c r="H17" s="100">
        <f t="shared" si="3"/>
        <v>0</v>
      </c>
      <c r="I17" s="99">
        <f t="shared" si="4"/>
        <v>0</v>
      </c>
      <c r="J17" s="100">
        <f t="shared" si="5"/>
        <v>0</v>
      </c>
    </row>
    <row r="18" spans="1:10">
      <c r="A18" s="98">
        <f>'Trade Blotter'!A27</f>
        <v>0</v>
      </c>
      <c r="B18" s="94">
        <f>'Trade Blotter'!AB27</f>
        <v>0</v>
      </c>
      <c r="D18" s="98" t="str">
        <f t="array" ref="D18">IFERROR(INDEX($A$4:$A$60, MATCH(0,COUNTIF($D$5:D17, $A$4:$A$60), 0)),"")</f>
        <v/>
      </c>
      <c r="E18" s="99">
        <f t="shared" si="0"/>
        <v>0</v>
      </c>
      <c r="F18" s="100">
        <f t="shared" si="1"/>
        <v>0</v>
      </c>
      <c r="G18" s="99">
        <f t="shared" si="2"/>
        <v>0</v>
      </c>
      <c r="H18" s="100">
        <f t="shared" si="3"/>
        <v>0</v>
      </c>
      <c r="I18" s="99">
        <f t="shared" si="4"/>
        <v>0</v>
      </c>
      <c r="J18" s="100">
        <f t="shared" si="5"/>
        <v>0</v>
      </c>
    </row>
    <row r="19" spans="1:10">
      <c r="A19" s="98">
        <f>'Trade Blotter'!A28</f>
        <v>0</v>
      </c>
      <c r="B19" s="94">
        <f>'Trade Blotter'!AB28</f>
        <v>0</v>
      </c>
      <c r="D19" s="98" t="str">
        <f t="array" ref="D19">IFERROR(INDEX($A$4:$A$60, MATCH(0,COUNTIF($D$5:D18, $A$4:$A$60), 0)),"")</f>
        <v/>
      </c>
      <c r="E19" s="99">
        <f t="shared" si="0"/>
        <v>0</v>
      </c>
      <c r="F19" s="100">
        <f t="shared" si="1"/>
        <v>0</v>
      </c>
      <c r="G19" s="99">
        <f t="shared" si="2"/>
        <v>0</v>
      </c>
      <c r="H19" s="100">
        <f t="shared" si="3"/>
        <v>0</v>
      </c>
      <c r="I19" s="99">
        <f t="shared" si="4"/>
        <v>0</v>
      </c>
      <c r="J19" s="100">
        <f t="shared" si="5"/>
        <v>0</v>
      </c>
    </row>
    <row r="20" spans="1:10">
      <c r="A20" s="98">
        <f>'Trade Blotter'!A29</f>
        <v>0</v>
      </c>
      <c r="B20" s="94">
        <f>'Trade Blotter'!AB29</f>
        <v>0</v>
      </c>
      <c r="D20" s="98" t="str">
        <f t="array" ref="D20">IFERROR(INDEX($A$4:$A$60, MATCH(0,COUNTIF($D$5:D19, $A$4:$A$60), 0)),"")</f>
        <v/>
      </c>
      <c r="E20" s="99">
        <f t="shared" si="0"/>
        <v>0</v>
      </c>
      <c r="F20" s="100">
        <f t="shared" si="1"/>
        <v>0</v>
      </c>
      <c r="G20" s="99">
        <f t="shared" si="2"/>
        <v>0</v>
      </c>
      <c r="H20" s="100">
        <f t="shared" si="3"/>
        <v>0</v>
      </c>
      <c r="I20" s="99">
        <f t="shared" si="4"/>
        <v>0</v>
      </c>
      <c r="J20" s="100">
        <f t="shared" si="5"/>
        <v>0</v>
      </c>
    </row>
    <row r="21" spans="1:10">
      <c r="A21" s="98">
        <f>'Trade Blotter'!A30</f>
        <v>0</v>
      </c>
      <c r="B21" s="94">
        <f>'Trade Blotter'!AB30</f>
        <v>0</v>
      </c>
      <c r="D21" s="98" t="str">
        <f t="array" ref="D21">IFERROR(INDEX($A$4:$A$60, MATCH(0,COUNTIF($D$5:D20, $A$4:$A$60), 0)),"")</f>
        <v/>
      </c>
      <c r="E21" s="99">
        <f t="shared" si="0"/>
        <v>0</v>
      </c>
      <c r="F21" s="100">
        <f t="shared" si="1"/>
        <v>0</v>
      </c>
      <c r="G21" s="99">
        <f t="shared" si="2"/>
        <v>0</v>
      </c>
      <c r="H21" s="100">
        <f t="shared" si="3"/>
        <v>0</v>
      </c>
      <c r="I21" s="99">
        <f t="shared" si="4"/>
        <v>0</v>
      </c>
      <c r="J21" s="100">
        <f t="shared" si="5"/>
        <v>0</v>
      </c>
    </row>
    <row r="22" spans="1:10">
      <c r="A22" s="98">
        <f>'Trade Blotter'!A31</f>
        <v>0</v>
      </c>
      <c r="B22" s="94">
        <f>'Trade Blotter'!AB31</f>
        <v>0</v>
      </c>
      <c r="D22" s="98" t="str">
        <f t="array" ref="D22">IFERROR(INDEX($A$4:$A$60, MATCH(0,COUNTIF($D$5:D21, $A$4:$A$60), 0)),"")</f>
        <v/>
      </c>
      <c r="E22" s="99">
        <f t="shared" si="0"/>
        <v>0</v>
      </c>
      <c r="F22" s="100">
        <f t="shared" si="1"/>
        <v>0</v>
      </c>
      <c r="G22" s="99">
        <f t="shared" si="2"/>
        <v>0</v>
      </c>
      <c r="H22" s="100">
        <f t="shared" si="3"/>
        <v>0</v>
      </c>
      <c r="I22" s="99">
        <f t="shared" si="4"/>
        <v>0</v>
      </c>
      <c r="J22" s="100">
        <f t="shared" si="5"/>
        <v>0</v>
      </c>
    </row>
    <row r="23" spans="1:10">
      <c r="A23" s="98">
        <f>'Trade Blotter'!A32</f>
        <v>0</v>
      </c>
      <c r="B23" s="94">
        <f>'Trade Blotter'!AB32</f>
        <v>0</v>
      </c>
      <c r="D23" s="98" t="str">
        <f t="array" ref="D23">IFERROR(INDEX($A$4:$A$60, MATCH(0,COUNTIF($D$5:D22, $A$4:$A$60), 0)),"")</f>
        <v/>
      </c>
      <c r="E23" s="99">
        <f t="shared" si="0"/>
        <v>0</v>
      </c>
      <c r="F23" s="100">
        <f t="shared" si="1"/>
        <v>0</v>
      </c>
      <c r="G23" s="99">
        <f t="shared" si="2"/>
        <v>0</v>
      </c>
      <c r="H23" s="100">
        <f t="shared" si="3"/>
        <v>0</v>
      </c>
      <c r="I23" s="99">
        <f t="shared" si="4"/>
        <v>0</v>
      </c>
      <c r="J23" s="100">
        <f t="shared" si="5"/>
        <v>0</v>
      </c>
    </row>
    <row r="24" spans="1:10">
      <c r="A24" s="98">
        <f>'Trade Blotter'!A33</f>
        <v>0</v>
      </c>
      <c r="B24" s="94">
        <f>'Trade Blotter'!AB33</f>
        <v>0</v>
      </c>
      <c r="D24" s="98" t="str">
        <f t="array" ref="D24">IFERROR(INDEX($A$4:$A$60, MATCH(0,COUNTIF($D$5:D23, $A$4:$A$60), 0)),"")</f>
        <v/>
      </c>
      <c r="E24" s="99">
        <f t="shared" si="0"/>
        <v>0</v>
      </c>
      <c r="F24" s="100">
        <f t="shared" si="1"/>
        <v>0</v>
      </c>
      <c r="G24" s="99">
        <f t="shared" si="2"/>
        <v>0</v>
      </c>
      <c r="H24" s="100">
        <f t="shared" si="3"/>
        <v>0</v>
      </c>
      <c r="I24" s="99">
        <f t="shared" si="4"/>
        <v>0</v>
      </c>
      <c r="J24" s="100">
        <f t="shared" si="5"/>
        <v>0</v>
      </c>
    </row>
    <row r="25" spans="1:10">
      <c r="A25" s="98">
        <f>'Trade Blotter'!A34</f>
        <v>0</v>
      </c>
      <c r="B25" s="94">
        <f>'Trade Blotter'!AB34</f>
        <v>0</v>
      </c>
      <c r="D25" s="98" t="str">
        <f t="array" ref="D25">IFERROR(INDEX($A$4:$A$60, MATCH(0,COUNTIF($D$5:D24, $A$4:$A$60), 0)),"")</f>
        <v/>
      </c>
      <c r="E25" s="99">
        <f t="shared" si="0"/>
        <v>0</v>
      </c>
      <c r="F25" s="100">
        <f t="shared" si="1"/>
        <v>0</v>
      </c>
      <c r="G25" s="99">
        <f t="shared" si="2"/>
        <v>0</v>
      </c>
      <c r="H25" s="100">
        <f t="shared" si="3"/>
        <v>0</v>
      </c>
      <c r="I25" s="99">
        <f t="shared" si="4"/>
        <v>0</v>
      </c>
      <c r="J25" s="100">
        <f t="shared" si="5"/>
        <v>0</v>
      </c>
    </row>
    <row r="26" spans="1:10">
      <c r="A26" s="98">
        <f>'Trade Blotter'!A35</f>
        <v>0</v>
      </c>
      <c r="B26" s="94">
        <f>'Trade Blotter'!AB35</f>
        <v>0</v>
      </c>
      <c r="D26" s="98" t="str">
        <f t="array" ref="D26">IFERROR(INDEX($A$4:$A$60, MATCH(0,COUNTIF($D$5:D25, $A$4:$A$60), 0)),"")</f>
        <v/>
      </c>
      <c r="E26" s="99">
        <f t="shared" si="0"/>
        <v>0</v>
      </c>
      <c r="F26" s="100">
        <f t="shared" si="1"/>
        <v>0</v>
      </c>
      <c r="G26" s="99">
        <f t="shared" si="2"/>
        <v>0</v>
      </c>
      <c r="H26" s="100">
        <f t="shared" si="3"/>
        <v>0</v>
      </c>
      <c r="I26" s="99">
        <f t="shared" si="4"/>
        <v>0</v>
      </c>
      <c r="J26" s="100">
        <f t="shared" si="5"/>
        <v>0</v>
      </c>
    </row>
    <row r="27" spans="1:10">
      <c r="A27" s="98">
        <f>'Trade Blotter'!A36</f>
        <v>0</v>
      </c>
      <c r="B27" s="94">
        <f>'Trade Blotter'!AB36</f>
        <v>0</v>
      </c>
      <c r="D27" s="23" t="str">
        <f t="array" ref="D27">IFERROR(INDEX($A$4:$A$60, MATCH(0,COUNTIF($D$5:D26, $A$4:$A$60), 0)),"")</f>
        <v/>
      </c>
    </row>
    <row r="28" spans="1:10">
      <c r="A28" s="98">
        <f>'Trade Blotter'!A37</f>
        <v>0</v>
      </c>
      <c r="B28" s="94">
        <f>'Trade Blotter'!AB37</f>
        <v>0</v>
      </c>
      <c r="D28" s="23" t="str">
        <f t="array" ref="D28">IFERROR(INDEX($A$4:$A$60, MATCH(0,COUNTIF($D$5:D27, $A$4:$A$60), 0)),"")</f>
        <v/>
      </c>
    </row>
    <row r="29" spans="1:10">
      <c r="A29" s="98">
        <f>'Trade Blotter'!A38</f>
        <v>0</v>
      </c>
      <c r="B29" s="94">
        <f>'Trade Blotter'!AB38</f>
        <v>0</v>
      </c>
      <c r="D29" s="23" t="str">
        <f t="array" ref="D29">IFERROR(INDEX($A$4:$A$60, MATCH(0,COUNTIF($D$5:D28, $A$4:$A$60), 0)),"")</f>
        <v/>
      </c>
    </row>
    <row r="30" spans="1:10">
      <c r="A30" s="98">
        <f>'Trade Blotter'!A39</f>
        <v>0</v>
      </c>
      <c r="B30" s="94">
        <f>'Trade Blotter'!AB39</f>
        <v>0</v>
      </c>
      <c r="D30" s="23" t="str">
        <f t="array" ref="D30">IFERROR(INDEX($A$4:$A$60, MATCH(0,COUNTIF($D$5:D29, $A$4:$A$60), 0)),"")</f>
        <v/>
      </c>
    </row>
    <row r="31" spans="1:10">
      <c r="A31" s="98">
        <f>'Trade Blotter'!A40</f>
        <v>0</v>
      </c>
      <c r="B31" s="94">
        <f>'Trade Blotter'!AB40</f>
        <v>0</v>
      </c>
      <c r="D31" s="23" t="str">
        <f t="array" ref="D31">IFERROR(INDEX($A$4:$A$60, MATCH(0,COUNTIF($D$5:D30, $A$4:$A$60), 0)),"")</f>
        <v/>
      </c>
    </row>
    <row r="32" spans="1:10">
      <c r="A32" s="98">
        <f>'Trade Blotter'!A41</f>
        <v>0</v>
      </c>
      <c r="B32" s="94">
        <f>'Trade Blotter'!AB41</f>
        <v>0</v>
      </c>
      <c r="D32" s="23" t="str">
        <f t="array" ref="D32">IFERROR(INDEX($A$4:$A$60, MATCH(0,COUNTIF($D$5:D31, $A$4:$A$60), 0)),"")</f>
        <v/>
      </c>
    </row>
    <row r="33" spans="1:4">
      <c r="A33" s="98">
        <f>'Trade Blotter'!A42</f>
        <v>0</v>
      </c>
      <c r="B33" s="94">
        <f>'Trade Blotter'!AB42</f>
        <v>0</v>
      </c>
      <c r="D33" s="23" t="str">
        <f t="array" ref="D33">IFERROR(INDEX($A$4:$A$60, MATCH(0,COUNTIF($D$5:D32, $A$4:$A$60), 0)),"")</f>
        <v/>
      </c>
    </row>
    <row r="34" spans="1:4">
      <c r="A34" s="98">
        <f>'Trade Blotter'!A43</f>
        <v>0</v>
      </c>
      <c r="B34" s="94">
        <f>'Trade Blotter'!AB43</f>
        <v>0</v>
      </c>
      <c r="D34" s="23" t="str">
        <f t="array" ref="D34">IFERROR(INDEX($A$4:$A$60, MATCH(0,COUNTIF($D$5:D33, $A$4:$A$60), 0)),"")</f>
        <v/>
      </c>
    </row>
    <row r="35" spans="1:4">
      <c r="A35" s="98">
        <f>'Trade Blotter'!A44</f>
        <v>0</v>
      </c>
      <c r="B35" s="94">
        <f>'Trade Blotter'!AB44</f>
        <v>0</v>
      </c>
      <c r="D35" s="23" t="str">
        <f t="array" ref="D35">IFERROR(INDEX($A$4:$A$60, MATCH(0,COUNTIF($D$5:D34, $A$4:$A$60), 0)),"")</f>
        <v/>
      </c>
    </row>
    <row r="36" spans="1:4">
      <c r="A36" s="98">
        <f>'Trade Blotter'!A45</f>
        <v>0</v>
      </c>
      <c r="B36" s="94">
        <f>'Trade Blotter'!AB45</f>
        <v>0</v>
      </c>
      <c r="D36" s="23" t="str">
        <f t="array" ref="D36">IFERROR(INDEX($A$4:$A$60, MATCH(0,COUNTIF($D$5:D35, $A$4:$A$60), 0)),"")</f>
        <v/>
      </c>
    </row>
    <row r="37" spans="1:4">
      <c r="A37" s="98">
        <f>'Trade Blotter'!A46</f>
        <v>0</v>
      </c>
      <c r="B37" s="94">
        <f>'Trade Blotter'!AB46</f>
        <v>0</v>
      </c>
      <c r="D37" s="23" t="str">
        <f t="array" ref="D37">IFERROR(INDEX($A$4:$A$60, MATCH(0,COUNTIF($D$5:D36, $A$4:$A$60), 0)),"")</f>
        <v/>
      </c>
    </row>
    <row r="38" spans="1:4">
      <c r="A38" s="98">
        <f>'Trade Blotter'!A47</f>
        <v>0</v>
      </c>
      <c r="B38" s="94">
        <f>'Trade Blotter'!AB47</f>
        <v>0</v>
      </c>
      <c r="D38" s="23" t="str">
        <f t="array" ref="D38">IFERROR(INDEX($A$4:$A$60, MATCH(0,COUNTIF($D$5:D37, $A$4:$A$60), 0)),"")</f>
        <v/>
      </c>
    </row>
    <row r="39" spans="1:4" ht="15.75">
      <c r="A39" s="98">
        <f>'Trade Blotter'!A48</f>
        <v>0</v>
      </c>
      <c r="B39" s="94">
        <f>'Trade Blotter'!AB48</f>
        <v>0</v>
      </c>
      <c r="D39" s="93" t="str">
        <f t="array" ref="D39">IFERROR(INDEX($A$4:$A$60, MATCH(0,COUNTIF($D$5:D38, $A$4:$A$60), 0)),"")</f>
        <v/>
      </c>
    </row>
    <row r="40" spans="1:4">
      <c r="A40" s="98">
        <f>'Trade Blotter'!A49</f>
        <v>0</v>
      </c>
      <c r="B40" s="94">
        <f>'Trade Blotter'!AB49</f>
        <v>0</v>
      </c>
    </row>
    <row r="41" spans="1:4">
      <c r="A41" s="98">
        <f>'Trade Blotter'!A50</f>
        <v>0</v>
      </c>
      <c r="B41" s="94">
        <f>'Trade Blotter'!AB50</f>
        <v>0</v>
      </c>
    </row>
    <row r="42" spans="1:4">
      <c r="A42" s="98">
        <f>'Trade Blotter'!A51</f>
        <v>0</v>
      </c>
      <c r="B42" s="94">
        <f>'Trade Blotter'!AB51</f>
        <v>0</v>
      </c>
    </row>
    <row r="43" spans="1:4">
      <c r="A43" s="98">
        <f>'Trade Blotter'!A52</f>
        <v>0</v>
      </c>
      <c r="B43" s="94">
        <f>'Trade Blotter'!AB52</f>
        <v>0</v>
      </c>
    </row>
    <row r="44" spans="1:4">
      <c r="A44" s="98">
        <f>'Trade Blotter'!A53</f>
        <v>0</v>
      </c>
      <c r="B44" s="94">
        <f>'Trade Blotter'!AB53</f>
        <v>0</v>
      </c>
    </row>
    <row r="45" spans="1:4">
      <c r="A45" s="98">
        <f>'Trade Blotter'!A54</f>
        <v>0</v>
      </c>
      <c r="B45" s="94">
        <f>'Trade Blotter'!AB54</f>
        <v>0</v>
      </c>
    </row>
    <row r="46" spans="1:4">
      <c r="A46" s="98">
        <f>'Trade Blotter'!A55</f>
        <v>0</v>
      </c>
      <c r="B46" s="94">
        <f>'Trade Blotter'!AB55</f>
        <v>0</v>
      </c>
    </row>
    <row r="47" spans="1:4">
      <c r="A47" s="98">
        <f>'Trade Blotter'!A56</f>
        <v>0</v>
      </c>
      <c r="B47" s="94">
        <f>'Trade Blotter'!AB56</f>
        <v>0</v>
      </c>
    </row>
    <row r="48" spans="1:4">
      <c r="A48" s="98">
        <f>'Trade Blotter'!A57</f>
        <v>0</v>
      </c>
      <c r="B48" s="94">
        <f>'Trade Blotter'!AB57</f>
        <v>0</v>
      </c>
    </row>
    <row r="49" spans="1:2">
      <c r="A49" s="98">
        <f>'Trade Blotter'!A58</f>
        <v>0</v>
      </c>
      <c r="B49" s="94">
        <f>'Trade Blotter'!AB58</f>
        <v>0</v>
      </c>
    </row>
    <row r="50" spans="1:2">
      <c r="A50" s="98">
        <f>'Trade Blotter'!A59</f>
        <v>0</v>
      </c>
      <c r="B50" s="94">
        <f>'Trade Blotter'!AB59</f>
        <v>0</v>
      </c>
    </row>
    <row r="51" spans="1:2">
      <c r="A51" s="98">
        <f>'Trade Blotter'!A60</f>
        <v>0</v>
      </c>
      <c r="B51" s="94">
        <f>'Trade Blotter'!AB60</f>
        <v>0</v>
      </c>
    </row>
    <row r="52" spans="1:2">
      <c r="A52" s="98">
        <f>'Trade Blotter'!A61</f>
        <v>0</v>
      </c>
      <c r="B52" s="94">
        <f>'Trade Blotter'!AB61</f>
        <v>0</v>
      </c>
    </row>
    <row r="53" spans="1:2">
      <c r="A53" s="98">
        <f>'Trade Blotter'!A62</f>
        <v>0</v>
      </c>
      <c r="B53" s="94">
        <f>'Trade Blotter'!AB62</f>
        <v>0</v>
      </c>
    </row>
    <row r="54" spans="1:2">
      <c r="A54" s="98" t="e">
        <f>'Trade Blotter'!#REF!</f>
        <v>#REF!</v>
      </c>
      <c r="B54" s="94" t="e">
        <f>'Trade Blotter'!#REF!</f>
        <v>#REF!</v>
      </c>
    </row>
    <row r="55" spans="1:2">
      <c r="A55" s="98" t="e">
        <f>'Trade Blotter'!#REF!</f>
        <v>#REF!</v>
      </c>
      <c r="B55" s="94" t="e">
        <f>'Trade Blotter'!#REF!</f>
        <v>#REF!</v>
      </c>
    </row>
    <row r="56" spans="1:2">
      <c r="A56" s="98" t="e">
        <f>'Trade Blotter'!#REF!</f>
        <v>#REF!</v>
      </c>
      <c r="B56" s="94" t="e">
        <f>'Trade Blotter'!#REF!</f>
        <v>#REF!</v>
      </c>
    </row>
    <row r="57" spans="1:2">
      <c r="A57" s="98" t="e">
        <f>'Trade Blotter'!#REF!</f>
        <v>#REF!</v>
      </c>
      <c r="B57" s="94" t="e">
        <f>'Trade Blotter'!#REF!</f>
        <v>#REF!</v>
      </c>
    </row>
    <row r="58" spans="1:2">
      <c r="A58" s="98" t="e">
        <f>'Trade Blotter'!#REF!</f>
        <v>#REF!</v>
      </c>
      <c r="B58" s="94" t="e">
        <f>'Trade Blotter'!#REF!</f>
        <v>#REF!</v>
      </c>
    </row>
    <row r="59" spans="1:2">
      <c r="A59" s="98" t="e">
        <f>'Trade Blotter'!#REF!</f>
        <v>#REF!</v>
      </c>
      <c r="B59" s="94" t="e">
        <f>'Trade Blotter'!#REF!</f>
        <v>#REF!</v>
      </c>
    </row>
    <row r="60" spans="1:2">
      <c r="A60" s="98" t="e">
        <f>'Trade Blotter'!#REF!</f>
        <v>#REF!</v>
      </c>
      <c r="B60" s="94" t="e">
        <f>'Trade Blotter'!#REF!</f>
        <v>#REF!</v>
      </c>
    </row>
    <row r="61" spans="1:2">
      <c r="A61" s="98" t="e">
        <f>'Trade Blotter'!#REF!</f>
        <v>#REF!</v>
      </c>
      <c r="B61" s="94" t="e">
        <f>'Trade Blotter'!#REF!</f>
        <v>#REF!</v>
      </c>
    </row>
    <row r="62" spans="1:2">
      <c r="A62" s="98" t="e">
        <f>'Trade Blotter'!#REF!</f>
        <v>#REF!</v>
      </c>
      <c r="B62" s="94" t="e">
        <f>'Trade Blotter'!#REF!</f>
        <v>#REF!</v>
      </c>
    </row>
    <row r="63" spans="1:2">
      <c r="A63" s="98" t="e">
        <f>'Trade Blotter'!#REF!</f>
        <v>#REF!</v>
      </c>
      <c r="B63" s="94" t="e">
        <f>'Trade Blotter'!#REF!</f>
        <v>#REF!</v>
      </c>
    </row>
    <row r="64" spans="1:2">
      <c r="A64" s="98" t="e">
        <f>'Trade Blotter'!#REF!</f>
        <v>#REF!</v>
      </c>
      <c r="B64" s="94" t="e">
        <f>'Trade Blotter'!#REF!</f>
        <v>#REF!</v>
      </c>
    </row>
    <row r="65" spans="1:2">
      <c r="A65" s="98" t="e">
        <f>'Trade Blotter'!#REF!</f>
        <v>#REF!</v>
      </c>
      <c r="B65" s="94" t="e">
        <f>'Trade Blotter'!#REF!</f>
        <v>#REF!</v>
      </c>
    </row>
    <row r="66" spans="1:2">
      <c r="A66" s="98" t="e">
        <f>'Trade Blotter'!#REF!</f>
        <v>#REF!</v>
      </c>
      <c r="B66" s="94" t="e">
        <f>'Trade Blotter'!#REF!</f>
        <v>#REF!</v>
      </c>
    </row>
    <row r="67" spans="1:2">
      <c r="A67" s="98" t="e">
        <f>'Trade Blotter'!#REF!</f>
        <v>#REF!</v>
      </c>
      <c r="B67" s="94" t="e">
        <f>'Trade Blotter'!#REF!</f>
        <v>#REF!</v>
      </c>
    </row>
    <row r="68" spans="1:2">
      <c r="A68" s="98" t="e">
        <f>'Trade Blotter'!#REF!</f>
        <v>#REF!</v>
      </c>
      <c r="B68" s="94" t="e">
        <f>'Trade Blotter'!#REF!</f>
        <v>#REF!</v>
      </c>
    </row>
    <row r="69" spans="1:2">
      <c r="A69" s="98" t="e">
        <f>'Trade Blotter'!#REF!</f>
        <v>#REF!</v>
      </c>
      <c r="B69" s="94" t="e">
        <f>'Trade Blotter'!#REF!</f>
        <v>#REF!</v>
      </c>
    </row>
    <row r="70" spans="1:2">
      <c r="A70" s="98" t="e">
        <f>'Trade Blotter'!#REF!</f>
        <v>#REF!</v>
      </c>
      <c r="B70" s="94" t="e">
        <f>'Trade Blotter'!#REF!</f>
        <v>#REF!</v>
      </c>
    </row>
    <row r="71" spans="1:2">
      <c r="A71" s="98" t="e">
        <f>'Trade Blotter'!#REF!</f>
        <v>#REF!</v>
      </c>
      <c r="B71" s="94" t="e">
        <f>'Trade Blotter'!#REF!</f>
        <v>#REF!</v>
      </c>
    </row>
    <row r="72" spans="1:2">
      <c r="A72" s="98" t="e">
        <f>'Trade Blotter'!#REF!</f>
        <v>#REF!</v>
      </c>
      <c r="B72" s="94" t="e">
        <f>'Trade Blotter'!#REF!</f>
        <v>#REF!</v>
      </c>
    </row>
    <row r="73" spans="1:2">
      <c r="A73" s="98" t="e">
        <f>'Trade Blotter'!#REF!</f>
        <v>#REF!</v>
      </c>
      <c r="B73" s="94" t="e">
        <f>'Trade Blotter'!#REF!</f>
        <v>#REF!</v>
      </c>
    </row>
    <row r="74" spans="1:2">
      <c r="A74" s="98" t="e">
        <f>'Trade Blotter'!#REF!</f>
        <v>#REF!</v>
      </c>
      <c r="B74" s="94" t="e">
        <f>'Trade Blotter'!#REF!</f>
        <v>#REF!</v>
      </c>
    </row>
    <row r="75" spans="1:2">
      <c r="A75" s="98" t="e">
        <f>'Trade Blotter'!#REF!</f>
        <v>#REF!</v>
      </c>
      <c r="B75" s="94" t="e">
        <f>'Trade Blotter'!#REF!</f>
        <v>#REF!</v>
      </c>
    </row>
    <row r="76" spans="1:2">
      <c r="A76" s="98" t="e">
        <f>'Trade Blotter'!#REF!</f>
        <v>#REF!</v>
      </c>
      <c r="B76" s="94" t="e">
        <f>'Trade Blotter'!#REF!</f>
        <v>#REF!</v>
      </c>
    </row>
    <row r="77" spans="1:2">
      <c r="A77" s="98" t="e">
        <f>'Trade Blotter'!#REF!</f>
        <v>#REF!</v>
      </c>
      <c r="B77" s="94" t="e">
        <f>'Trade Blotter'!#REF!</f>
        <v>#REF!</v>
      </c>
    </row>
    <row r="78" spans="1:2">
      <c r="A78" s="98" t="e">
        <f>'Trade Blotter'!#REF!</f>
        <v>#REF!</v>
      </c>
      <c r="B78" s="94" t="e">
        <f>'Trade Blotter'!#REF!</f>
        <v>#REF!</v>
      </c>
    </row>
    <row r="79" spans="1:2">
      <c r="A79" s="98" t="e">
        <f>'Trade Blotter'!#REF!</f>
        <v>#REF!</v>
      </c>
      <c r="B79" s="94" t="e">
        <f>'Trade Blotter'!#REF!</f>
        <v>#REF!</v>
      </c>
    </row>
    <row r="80" spans="1:2">
      <c r="A80" s="98" t="e">
        <f>'Trade Blotter'!#REF!</f>
        <v>#REF!</v>
      </c>
      <c r="B80" s="94" t="e">
        <f>'Trade Blotter'!#REF!</f>
        <v>#REF!</v>
      </c>
    </row>
    <row r="81" spans="1:2">
      <c r="A81" s="98" t="e">
        <f>'Trade Blotter'!#REF!</f>
        <v>#REF!</v>
      </c>
      <c r="B81" s="94" t="e">
        <f>'Trade Blotter'!#REF!</f>
        <v>#REF!</v>
      </c>
    </row>
    <row r="82" spans="1:2">
      <c r="A82" s="98" t="e">
        <f>'Trade Blotter'!#REF!</f>
        <v>#REF!</v>
      </c>
      <c r="B82" s="94" t="e">
        <f>'Trade Blotter'!#REF!</f>
        <v>#REF!</v>
      </c>
    </row>
    <row r="83" spans="1:2">
      <c r="A83" s="98" t="e">
        <f>'Trade Blotter'!#REF!</f>
        <v>#REF!</v>
      </c>
      <c r="B83" s="94" t="e">
        <f>'Trade Blotter'!#REF!</f>
        <v>#REF!</v>
      </c>
    </row>
    <row r="84" spans="1:2">
      <c r="A84" s="98" t="e">
        <f>'Trade Blotter'!#REF!</f>
        <v>#REF!</v>
      </c>
      <c r="B84" s="94" t="e">
        <f>'Trade Blotter'!#REF!</f>
        <v>#REF!</v>
      </c>
    </row>
  </sheetData>
  <mergeCells count="4">
    <mergeCell ref="E4:F4"/>
    <mergeCell ref="G4:H4"/>
    <mergeCell ref="I4:J4"/>
    <mergeCell ref="M1:AA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B1:AI60"/>
  <sheetViews>
    <sheetView zoomScale="80" zoomScaleNormal="80" workbookViewId="0">
      <selection activeCell="A61" sqref="A61:XFD96"/>
    </sheetView>
  </sheetViews>
  <sheetFormatPr defaultRowHeight="15"/>
  <cols>
    <col min="1" max="1" width="2.7109375" customWidth="1"/>
    <col min="2" max="2" width="10.140625" customWidth="1"/>
    <col min="3" max="3" width="9.5703125" style="80" customWidth="1"/>
    <col min="4" max="4" width="9.42578125" customWidth="1"/>
    <col min="5" max="5" width="10.5703125" bestFit="1" customWidth="1"/>
    <col min="6" max="6" width="18" bestFit="1" customWidth="1"/>
    <col min="7" max="7" width="11" bestFit="1" customWidth="1"/>
    <col min="8" max="8" width="8.85546875" bestFit="1" customWidth="1"/>
    <col min="9" max="9" width="2.5703125" customWidth="1"/>
    <col min="10" max="10" width="3.28515625" customWidth="1"/>
    <col min="11" max="11" width="18.5703125" customWidth="1"/>
    <col min="12" max="12" width="13.42578125" style="80" customWidth="1"/>
    <col min="13" max="13" width="5.7109375" bestFit="1" customWidth="1"/>
    <col min="19" max="19" width="2.5703125" customWidth="1"/>
    <col min="20" max="20" width="3.28515625" customWidth="1"/>
    <col min="21" max="21" width="17.140625" bestFit="1" customWidth="1"/>
    <col min="23" max="23" width="10.5703125" bestFit="1" customWidth="1"/>
    <col min="29" max="29" width="2.5703125" customWidth="1"/>
    <col min="30" max="30" width="3" customWidth="1"/>
    <col min="31" max="31" width="12.140625" customWidth="1"/>
    <col min="32" max="32" width="10.28515625" bestFit="1" customWidth="1"/>
    <col min="34" max="34" width="11" bestFit="1" customWidth="1"/>
  </cols>
  <sheetData>
    <row r="1" spans="2:33" ht="31.5">
      <c r="O1" s="207" t="s">
        <v>82</v>
      </c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  <c r="AA1" s="207"/>
      <c r="AB1" s="207"/>
      <c r="AC1" s="207"/>
    </row>
    <row r="2" spans="2:33" ht="32.25" customHeight="1">
      <c r="F2" s="31" t="s">
        <v>110</v>
      </c>
      <c r="I2" s="84"/>
      <c r="S2" s="84"/>
      <c r="AC2" s="84"/>
    </row>
    <row r="3" spans="2:33">
      <c r="B3" s="46" t="s">
        <v>42</v>
      </c>
      <c r="I3" s="84"/>
      <c r="K3" s="40" t="s">
        <v>111</v>
      </c>
      <c r="S3" s="84"/>
      <c r="U3" s="40" t="s">
        <v>112</v>
      </c>
      <c r="AC3" s="84"/>
      <c r="AE3" s="40" t="s">
        <v>113</v>
      </c>
    </row>
    <row r="4" spans="2:33">
      <c r="B4" s="47"/>
      <c r="I4" s="84"/>
      <c r="J4" s="26"/>
      <c r="S4" s="84"/>
      <c r="V4" s="51"/>
      <c r="AC4" s="84"/>
    </row>
    <row r="5" spans="2:33">
      <c r="B5" s="48" t="s">
        <v>5</v>
      </c>
      <c r="C5" s="103">
        <f>COUNTIF(B32:B60,"S1")</f>
        <v>0</v>
      </c>
      <c r="I5" s="84"/>
      <c r="J5" s="26"/>
      <c r="K5" s="48" t="s">
        <v>114</v>
      </c>
      <c r="L5" s="95">
        <f>COUNTIF(L32:L60,"Monday")</f>
        <v>0</v>
      </c>
      <c r="S5" s="84"/>
      <c r="U5" s="48" t="s">
        <v>115</v>
      </c>
      <c r="V5" s="100">
        <f>COUNTIFS(V32:V60,"&gt;=6",V32:V60,"&lt;=8")</f>
        <v>1</v>
      </c>
      <c r="AC5" s="84"/>
      <c r="AF5" s="92" t="s">
        <v>116</v>
      </c>
    </row>
    <row r="6" spans="2:33">
      <c r="B6" s="48" t="s">
        <v>8</v>
      </c>
      <c r="C6" s="103">
        <f>COUNTIF(B32:B60,"S2+")</f>
        <v>0</v>
      </c>
      <c r="I6" s="84"/>
      <c r="J6" s="26"/>
      <c r="K6" s="48" t="s">
        <v>117</v>
      </c>
      <c r="L6" s="95">
        <f>COUNTIF(L32:L60,"Tuesday")</f>
        <v>0</v>
      </c>
      <c r="S6" s="84"/>
      <c r="U6" s="48" t="s">
        <v>118</v>
      </c>
      <c r="V6" s="100">
        <f>COUNTIFS(V32:V60,"&gt;8",V32:V60,"&lt;=10")</f>
        <v>0</v>
      </c>
      <c r="AC6" s="84"/>
      <c r="AE6" s="48" t="s">
        <v>119</v>
      </c>
      <c r="AF6" s="97">
        <f>AVERAGEIFS(AF32:AF60,AE32:AE60,"B",AI32:AI60,"&gt;0")</f>
        <v>8.53333333338378</v>
      </c>
      <c r="AG6" s="38"/>
    </row>
    <row r="7" spans="2:33">
      <c r="B7" s="48" t="s">
        <v>13</v>
      </c>
      <c r="C7" s="103">
        <f>COUNTIF(B32:B60,"T")</f>
        <v>0</v>
      </c>
      <c r="I7" s="84"/>
      <c r="J7" s="26"/>
      <c r="K7" s="48" t="s">
        <v>120</v>
      </c>
      <c r="L7" s="95">
        <f>COUNTIF(L32:L60,"Wednesday")</f>
        <v>0</v>
      </c>
      <c r="S7" s="84"/>
      <c r="U7" s="48" t="s">
        <v>121</v>
      </c>
      <c r="V7" s="100">
        <f>COUNTIFS(V32:V60,"&gt;10",V32:V60,"&lt;=12")</f>
        <v>0</v>
      </c>
      <c r="AC7" s="84"/>
      <c r="AE7" s="48" t="s">
        <v>122</v>
      </c>
      <c r="AF7" s="97" t="e">
        <f>AVERAGEIFS(AF32:AF60,AE32:AE60,"S",AI32:AI60,"&gt;0")</f>
        <v>#DIV/0!</v>
      </c>
      <c r="AG7" s="38"/>
    </row>
    <row r="8" spans="2:33">
      <c r="B8" s="48" t="s">
        <v>11</v>
      </c>
      <c r="C8" s="103">
        <f>COUNTIF(B32:B60,"ME")</f>
        <v>1</v>
      </c>
      <c r="I8" s="84"/>
      <c r="J8" s="26"/>
      <c r="K8" s="48" t="s">
        <v>123</v>
      </c>
      <c r="L8" s="95">
        <f>COUNTIF(L32:L60,"Thursday")</f>
        <v>1</v>
      </c>
      <c r="S8" s="84"/>
      <c r="U8" s="48" t="s">
        <v>124</v>
      </c>
      <c r="V8" s="100">
        <f>COUNTIFS(V32:V60,"&gt;12",V32:V60,"&lt;=14")</f>
        <v>0</v>
      </c>
      <c r="AC8" s="84"/>
      <c r="AE8" s="48" t="s">
        <v>125</v>
      </c>
      <c r="AF8" s="97" t="e">
        <f>AVERAGEIFS(AF32:AF60,AE32:AE60,"B",AI32:AI60,"&lt;0")</f>
        <v>#DIV/0!</v>
      </c>
      <c r="AG8" s="38"/>
    </row>
    <row r="9" spans="2:33">
      <c r="B9" s="48" t="s">
        <v>95</v>
      </c>
      <c r="C9" s="104">
        <f>SUM(C5:C8)</f>
        <v>1</v>
      </c>
      <c r="I9" s="84"/>
      <c r="J9" s="26"/>
      <c r="K9" s="48" t="s">
        <v>126</v>
      </c>
      <c r="L9" s="95">
        <f>COUNTIF(L32:L60,"Friday")</f>
        <v>0</v>
      </c>
      <c r="S9" s="84"/>
      <c r="U9" s="48" t="s">
        <v>127</v>
      </c>
      <c r="V9" s="100">
        <f>COUNTIFS(V32:V60,"&gt;14",V32:V60,"&lt;=16")</f>
        <v>0</v>
      </c>
      <c r="AC9" s="84"/>
      <c r="AE9" s="48" t="s">
        <v>128</v>
      </c>
      <c r="AF9" s="97" t="e">
        <f>AVERAGEIFS(AF32:AF60,AE32:AE60,"S",AI32:AI60,"&lt;0")</f>
        <v>#DIV/0!</v>
      </c>
      <c r="AG9" s="38"/>
    </row>
    <row r="10" spans="2:33">
      <c r="B10" s="47"/>
      <c r="I10" s="84"/>
      <c r="J10" s="26"/>
      <c r="S10" s="84"/>
      <c r="U10" s="48" t="s">
        <v>129</v>
      </c>
      <c r="V10" s="100">
        <f>COUNTIFS(V32:V60,"&gt;16",V32:V60,"&lt;=18")</f>
        <v>0</v>
      </c>
      <c r="AC10" s="84"/>
    </row>
    <row r="11" spans="2:33">
      <c r="B11" s="47"/>
      <c r="I11" s="84"/>
      <c r="J11" s="26"/>
      <c r="S11" s="84"/>
      <c r="U11" s="48" t="s">
        <v>130</v>
      </c>
      <c r="V11" s="100">
        <f>COUNTIFS(V32:V60,"&gt;18",V32:V60,"&lt;=20")</f>
        <v>0</v>
      </c>
      <c r="AC11" s="84"/>
    </row>
    <row r="12" spans="2:33">
      <c r="B12" s="47"/>
      <c r="I12" s="84"/>
      <c r="J12" s="26"/>
      <c r="S12" s="84"/>
      <c r="U12" s="48" t="s">
        <v>131</v>
      </c>
      <c r="V12" s="100">
        <f>COUNTIFS(V32:V60,"&gt;20",V32:V60,"&lt;=00")</f>
        <v>0</v>
      </c>
      <c r="AC12" s="84"/>
    </row>
    <row r="13" spans="2:33">
      <c r="B13" s="47"/>
      <c r="I13" s="84"/>
      <c r="J13" s="26"/>
      <c r="S13" s="84"/>
      <c r="U13" s="48" t="s">
        <v>132</v>
      </c>
      <c r="V13" s="100">
        <f>COUNTIFS(V32:V60,"&gt;00",V32:V60,"&lt;=02")</f>
        <v>0</v>
      </c>
      <c r="AC13" s="84"/>
    </row>
    <row r="14" spans="2:33">
      <c r="B14" s="47"/>
      <c r="I14" s="84"/>
      <c r="J14" s="26"/>
      <c r="S14" s="84"/>
      <c r="U14" s="48" t="s">
        <v>133</v>
      </c>
      <c r="V14" s="100">
        <f>COUNTIFS(V32:V60,"&gt;02",V32:V60,"&lt;=04")</f>
        <v>0</v>
      </c>
      <c r="AC14" s="84"/>
    </row>
    <row r="15" spans="2:33">
      <c r="B15" s="47"/>
      <c r="I15" s="84"/>
      <c r="J15" s="26"/>
      <c r="S15" s="84"/>
      <c r="U15" s="48" t="s">
        <v>134</v>
      </c>
      <c r="V15" s="100">
        <f>COUNTIFS(V32:V60,"&gt;04",V32:V60,"&lt;=06")</f>
        <v>0</v>
      </c>
      <c r="AC15" s="84"/>
    </row>
    <row r="16" spans="2:33">
      <c r="B16" s="47"/>
      <c r="I16" s="84"/>
      <c r="J16" s="26"/>
      <c r="S16" s="84"/>
      <c r="AC16" s="84"/>
    </row>
    <row r="17" spans="2:35">
      <c r="B17" s="47"/>
      <c r="I17" s="84"/>
      <c r="J17" s="26"/>
      <c r="S17" s="84"/>
      <c r="AC17" s="84"/>
    </row>
    <row r="18" spans="2:35">
      <c r="B18" s="47"/>
      <c r="I18" s="84"/>
      <c r="J18" s="26"/>
      <c r="S18" s="84"/>
      <c r="AC18" s="84"/>
    </row>
    <row r="19" spans="2:35">
      <c r="B19" s="47"/>
      <c r="I19" s="84"/>
      <c r="J19" s="26"/>
      <c r="S19" s="84"/>
      <c r="AC19" s="84"/>
    </row>
    <row r="20" spans="2:35">
      <c r="B20" s="47"/>
      <c r="I20" s="84"/>
      <c r="J20" s="26"/>
      <c r="S20" s="84"/>
      <c r="AC20" s="84"/>
    </row>
    <row r="21" spans="2:35">
      <c r="B21" s="47"/>
      <c r="I21" s="84"/>
      <c r="J21" s="26"/>
      <c r="S21" s="84"/>
      <c r="AC21" s="84"/>
    </row>
    <row r="22" spans="2:35">
      <c r="B22" s="47"/>
      <c r="I22" s="84"/>
      <c r="J22" s="26"/>
      <c r="S22" s="84"/>
      <c r="AC22" s="84"/>
    </row>
    <row r="23" spans="2:35">
      <c r="B23" s="47"/>
      <c r="I23" s="84"/>
      <c r="J23" s="26"/>
      <c r="S23" s="84"/>
      <c r="AC23" s="84"/>
    </row>
    <row r="24" spans="2:35">
      <c r="B24" s="47"/>
      <c r="I24" s="84"/>
      <c r="J24" s="26"/>
      <c r="S24" s="84"/>
      <c r="AC24" s="84"/>
    </row>
    <row r="25" spans="2:35">
      <c r="B25" s="47"/>
      <c r="I25" s="84"/>
      <c r="J25" s="26"/>
      <c r="S25" s="84"/>
      <c r="AC25" s="84"/>
    </row>
    <row r="26" spans="2:35">
      <c r="I26" s="84"/>
      <c r="S26" s="84"/>
      <c r="AC26" s="84"/>
    </row>
    <row r="27" spans="2:35">
      <c r="I27" s="84"/>
      <c r="S27" s="84"/>
      <c r="AC27" s="84"/>
    </row>
    <row r="28" spans="2:35">
      <c r="I28" s="84"/>
      <c r="S28" s="84"/>
      <c r="AC28" s="84"/>
    </row>
    <row r="29" spans="2:35">
      <c r="I29" s="84"/>
      <c r="S29" s="84"/>
      <c r="AC29" s="84"/>
    </row>
    <row r="30" spans="2:35" ht="47.25" customHeight="1">
      <c r="I30" s="84"/>
      <c r="S30" s="84"/>
      <c r="AC30" s="84"/>
    </row>
    <row r="31" spans="2:35">
      <c r="B31" s="46" t="s">
        <v>42</v>
      </c>
      <c r="I31" s="84"/>
      <c r="K31" s="40" t="s">
        <v>111</v>
      </c>
      <c r="S31" s="84"/>
      <c r="U31" s="40" t="s">
        <v>112</v>
      </c>
      <c r="AC31" s="84"/>
      <c r="AE31" s="86" t="s">
        <v>29</v>
      </c>
      <c r="AF31" s="86" t="s">
        <v>113</v>
      </c>
      <c r="AG31" s="80"/>
      <c r="AH31" s="80"/>
      <c r="AI31" s="86" t="s">
        <v>135</v>
      </c>
    </row>
    <row r="32" spans="2:35">
      <c r="B32" s="100" t="str">
        <f>'Trade Blotter'!W15</f>
        <v>ME</v>
      </c>
      <c r="I32" s="84"/>
      <c r="K32" s="101">
        <f>'Trade Blotter'!B15</f>
        <v>44777.354166666664</v>
      </c>
      <c r="L32" s="95" t="str">
        <f>TEXT(K32,"dddd")</f>
        <v>Thursday</v>
      </c>
      <c r="S32" s="84"/>
      <c r="U32" s="101">
        <f>'Trade Blotter'!B15</f>
        <v>44777.354166666664</v>
      </c>
      <c r="V32" s="102">
        <f>HOUR(U32)</f>
        <v>8</v>
      </c>
      <c r="AC32" s="84"/>
      <c r="AE32" s="95" t="str">
        <f>'Trade Blotter'!D15</f>
        <v>B</v>
      </c>
      <c r="AF32" s="106">
        <f>'Trade Blotter'!AA15</f>
        <v>8.53333333338378</v>
      </c>
      <c r="AG32" s="95"/>
      <c r="AH32" s="95"/>
      <c r="AI32" s="107">
        <f>'Trade Blotter'!AB15</f>
        <v>150</v>
      </c>
    </row>
    <row r="33" spans="2:35">
      <c r="B33" s="100">
        <f>'Trade Blotter'!W16</f>
        <v>0</v>
      </c>
      <c r="I33" s="84"/>
      <c r="K33" s="101">
        <f>'Trade Blotter'!B16</f>
        <v>0</v>
      </c>
      <c r="L33" s="95" t="str">
        <f t="shared" ref="L33:L60" si="0">TEXT(K33,"dddd")</f>
        <v>Saturday</v>
      </c>
      <c r="S33" s="84"/>
      <c r="U33" s="101">
        <f>'Trade Blotter'!B16</f>
        <v>0</v>
      </c>
      <c r="V33" s="100">
        <f t="shared" ref="V33:V60" si="1">HOUR(U33)</f>
        <v>0</v>
      </c>
      <c r="AC33" s="84"/>
      <c r="AE33" s="95">
        <f>'Trade Blotter'!D16</f>
        <v>0</v>
      </c>
      <c r="AF33" s="106">
        <f>'Trade Blotter'!AA16</f>
        <v>0</v>
      </c>
      <c r="AG33" s="95"/>
      <c r="AH33" s="95"/>
      <c r="AI33" s="107">
        <f>'Trade Blotter'!AB16</f>
        <v>-100</v>
      </c>
    </row>
    <row r="34" spans="2:35">
      <c r="B34" s="100">
        <f>'Trade Blotter'!W17</f>
        <v>0</v>
      </c>
      <c r="I34" s="84"/>
      <c r="K34" s="101">
        <f>'Trade Blotter'!B17</f>
        <v>0</v>
      </c>
      <c r="L34" s="95" t="str">
        <f t="shared" si="0"/>
        <v>Saturday</v>
      </c>
      <c r="S34" s="84"/>
      <c r="U34" s="101">
        <f>'Trade Blotter'!B17</f>
        <v>0</v>
      </c>
      <c r="V34" s="100">
        <f t="shared" si="1"/>
        <v>0</v>
      </c>
      <c r="AC34" s="84"/>
      <c r="AE34" s="95">
        <f>'Trade Blotter'!D17</f>
        <v>0</v>
      </c>
      <c r="AF34" s="106">
        <f>'Trade Blotter'!AA17</f>
        <v>0</v>
      </c>
      <c r="AG34" s="95"/>
      <c r="AH34" s="95"/>
      <c r="AI34" s="107">
        <f>'Trade Blotter'!AB17</f>
        <v>250</v>
      </c>
    </row>
    <row r="35" spans="2:35">
      <c r="B35" s="100">
        <f>'Trade Blotter'!W18</f>
        <v>0</v>
      </c>
      <c r="I35" s="84"/>
      <c r="K35" s="101">
        <f>'Trade Blotter'!B18</f>
        <v>0</v>
      </c>
      <c r="L35" s="95" t="str">
        <f t="shared" si="0"/>
        <v>Saturday</v>
      </c>
      <c r="S35" s="84"/>
      <c r="U35" s="101">
        <f>'Trade Blotter'!B18</f>
        <v>0</v>
      </c>
      <c r="V35" s="100">
        <f t="shared" si="1"/>
        <v>0</v>
      </c>
      <c r="AC35" s="84"/>
      <c r="AE35" s="95">
        <f>'Trade Blotter'!D18</f>
        <v>0</v>
      </c>
      <c r="AF35" s="106">
        <f>'Trade Blotter'!AA18</f>
        <v>0</v>
      </c>
      <c r="AG35" s="95"/>
      <c r="AH35" s="95"/>
      <c r="AI35" s="107">
        <f>'Trade Blotter'!AB18</f>
        <v>-150</v>
      </c>
    </row>
    <row r="36" spans="2:35">
      <c r="B36" s="100">
        <f>'Trade Blotter'!W19</f>
        <v>0</v>
      </c>
      <c r="I36" s="84"/>
      <c r="K36" s="101">
        <f>'Trade Blotter'!B19</f>
        <v>0</v>
      </c>
      <c r="L36" s="95" t="str">
        <f t="shared" si="0"/>
        <v>Saturday</v>
      </c>
      <c r="S36" s="84"/>
      <c r="U36" s="101">
        <f>'Trade Blotter'!B19</f>
        <v>0</v>
      </c>
      <c r="V36" s="100">
        <f t="shared" si="1"/>
        <v>0</v>
      </c>
      <c r="AC36" s="84"/>
      <c r="AE36" s="95">
        <f>'Trade Blotter'!D19</f>
        <v>0</v>
      </c>
      <c r="AF36" s="106">
        <f>'Trade Blotter'!AA19</f>
        <v>0</v>
      </c>
      <c r="AG36" s="95"/>
      <c r="AH36" s="95"/>
      <c r="AI36" s="107">
        <f>'Trade Blotter'!AB19</f>
        <v>-200</v>
      </c>
    </row>
    <row r="37" spans="2:35">
      <c r="B37" s="100">
        <f>'Trade Blotter'!W20</f>
        <v>0</v>
      </c>
      <c r="I37" s="84"/>
      <c r="K37" s="101">
        <f>'Trade Blotter'!B20</f>
        <v>0</v>
      </c>
      <c r="L37" s="95" t="str">
        <f t="shared" si="0"/>
        <v>Saturday</v>
      </c>
      <c r="S37" s="84"/>
      <c r="U37" s="101">
        <f>'Trade Blotter'!B20</f>
        <v>0</v>
      </c>
      <c r="V37" s="100">
        <f t="shared" si="1"/>
        <v>0</v>
      </c>
      <c r="AC37" s="84"/>
      <c r="AE37" s="95">
        <f>'Trade Blotter'!D20</f>
        <v>0</v>
      </c>
      <c r="AF37" s="106">
        <f>'Trade Blotter'!AA20</f>
        <v>0</v>
      </c>
      <c r="AG37" s="95"/>
      <c r="AH37" s="95"/>
      <c r="AI37" s="107">
        <f>'Trade Blotter'!AB20</f>
        <v>0</v>
      </c>
    </row>
    <row r="38" spans="2:35">
      <c r="B38" s="100">
        <f>'Trade Blotter'!W21</f>
        <v>0</v>
      </c>
      <c r="I38" s="84"/>
      <c r="K38" s="101">
        <f>'Trade Blotter'!B21</f>
        <v>0</v>
      </c>
      <c r="L38" s="95" t="str">
        <f t="shared" si="0"/>
        <v>Saturday</v>
      </c>
      <c r="S38" s="84"/>
      <c r="U38" s="101">
        <f>'Trade Blotter'!B21</f>
        <v>0</v>
      </c>
      <c r="V38" s="100">
        <f t="shared" si="1"/>
        <v>0</v>
      </c>
      <c r="AC38" s="84"/>
      <c r="AE38" s="95">
        <f>'Trade Blotter'!D21</f>
        <v>0</v>
      </c>
      <c r="AF38" s="106">
        <f>'Trade Blotter'!AA21</f>
        <v>0</v>
      </c>
      <c r="AG38" s="95"/>
      <c r="AH38" s="95"/>
      <c r="AI38" s="107">
        <f>'Trade Blotter'!AB21</f>
        <v>0</v>
      </c>
    </row>
    <row r="39" spans="2:35">
      <c r="B39" s="100">
        <f>'Trade Blotter'!W22</f>
        <v>0</v>
      </c>
      <c r="I39" s="84"/>
      <c r="K39" s="101">
        <f>'Trade Blotter'!B22</f>
        <v>0</v>
      </c>
      <c r="L39" s="95" t="str">
        <f t="shared" si="0"/>
        <v>Saturday</v>
      </c>
      <c r="S39" s="84"/>
      <c r="U39" s="101">
        <f>'Trade Blotter'!B22</f>
        <v>0</v>
      </c>
      <c r="V39" s="100">
        <f t="shared" si="1"/>
        <v>0</v>
      </c>
      <c r="AC39" s="84"/>
      <c r="AE39" s="95">
        <f>'Trade Blotter'!D22</f>
        <v>0</v>
      </c>
      <c r="AF39" s="106">
        <f>'Trade Blotter'!AA22</f>
        <v>0</v>
      </c>
      <c r="AG39" s="95"/>
      <c r="AH39" s="95"/>
      <c r="AI39" s="107">
        <f>'Trade Blotter'!AB22</f>
        <v>0</v>
      </c>
    </row>
    <row r="40" spans="2:35">
      <c r="B40" s="100">
        <f>'Trade Blotter'!W23</f>
        <v>0</v>
      </c>
      <c r="I40" s="84"/>
      <c r="K40" s="101">
        <f>'Trade Blotter'!B23</f>
        <v>0</v>
      </c>
      <c r="L40" s="95" t="str">
        <f t="shared" si="0"/>
        <v>Saturday</v>
      </c>
      <c r="S40" s="84"/>
      <c r="U40" s="101">
        <f>'Trade Blotter'!B23</f>
        <v>0</v>
      </c>
      <c r="V40" s="100">
        <f t="shared" si="1"/>
        <v>0</v>
      </c>
      <c r="AC40" s="84"/>
      <c r="AE40" s="95">
        <f>'Trade Blotter'!D23</f>
        <v>0</v>
      </c>
      <c r="AF40" s="106">
        <f>'Trade Blotter'!AA23</f>
        <v>0</v>
      </c>
      <c r="AG40" s="95"/>
      <c r="AH40" s="95"/>
      <c r="AI40" s="107">
        <f>'Trade Blotter'!AB23</f>
        <v>0</v>
      </c>
    </row>
    <row r="41" spans="2:35">
      <c r="B41" s="100">
        <f>'Trade Blotter'!W24</f>
        <v>0</v>
      </c>
      <c r="I41" s="84"/>
      <c r="K41" s="101">
        <f>'Trade Blotter'!B24</f>
        <v>0</v>
      </c>
      <c r="L41" s="95" t="str">
        <f t="shared" si="0"/>
        <v>Saturday</v>
      </c>
      <c r="S41" s="84"/>
      <c r="U41" s="101">
        <f>'Trade Blotter'!B24</f>
        <v>0</v>
      </c>
      <c r="V41" s="100">
        <f t="shared" si="1"/>
        <v>0</v>
      </c>
      <c r="AC41" s="84"/>
      <c r="AE41" s="95">
        <f>'Trade Blotter'!D24</f>
        <v>0</v>
      </c>
      <c r="AF41" s="106">
        <f>'Trade Blotter'!AA24</f>
        <v>0</v>
      </c>
      <c r="AG41" s="95"/>
      <c r="AH41" s="95"/>
      <c r="AI41" s="107">
        <f>'Trade Blotter'!AB24</f>
        <v>0</v>
      </c>
    </row>
    <row r="42" spans="2:35">
      <c r="B42" s="100">
        <f>'Trade Blotter'!W25</f>
        <v>0</v>
      </c>
      <c r="I42" s="84"/>
      <c r="K42" s="101">
        <f>'Trade Blotter'!B25</f>
        <v>0</v>
      </c>
      <c r="L42" s="95" t="str">
        <f t="shared" si="0"/>
        <v>Saturday</v>
      </c>
      <c r="S42" s="84"/>
      <c r="U42" s="101">
        <f>'Trade Blotter'!B25</f>
        <v>0</v>
      </c>
      <c r="V42" s="100">
        <f t="shared" si="1"/>
        <v>0</v>
      </c>
      <c r="AC42" s="84"/>
      <c r="AE42" s="95">
        <f>'Trade Blotter'!D25</f>
        <v>0</v>
      </c>
      <c r="AF42" s="106">
        <f>'Trade Blotter'!AA23</f>
        <v>0</v>
      </c>
      <c r="AG42" s="95"/>
      <c r="AH42" s="95"/>
      <c r="AI42" s="107">
        <f>'Trade Blotter'!AB25</f>
        <v>0</v>
      </c>
    </row>
    <row r="43" spans="2:35">
      <c r="B43" s="100">
        <f>'Trade Blotter'!W24</f>
        <v>0</v>
      </c>
      <c r="I43" s="84"/>
      <c r="K43" s="101">
        <f>'Trade Blotter'!B24</f>
        <v>0</v>
      </c>
      <c r="L43" s="95" t="str">
        <f t="shared" si="0"/>
        <v>Saturday</v>
      </c>
      <c r="S43" s="84"/>
      <c r="U43" s="101">
        <f>'Trade Blotter'!B24</f>
        <v>0</v>
      </c>
      <c r="V43" s="100">
        <f t="shared" si="1"/>
        <v>0</v>
      </c>
      <c r="AC43" s="84"/>
      <c r="AE43" s="95">
        <f>'Trade Blotter'!D24</f>
        <v>0</v>
      </c>
      <c r="AF43" s="106">
        <f>'Trade Blotter'!AA24</f>
        <v>0</v>
      </c>
      <c r="AG43" s="95"/>
      <c r="AH43" s="95"/>
      <c r="AI43" s="107">
        <f>'Trade Blotter'!AB24</f>
        <v>0</v>
      </c>
    </row>
    <row r="44" spans="2:35">
      <c r="B44" s="100">
        <f>'Trade Blotter'!W25</f>
        <v>0</v>
      </c>
      <c r="I44" s="84"/>
      <c r="K44" s="101">
        <f>'Trade Blotter'!B25</f>
        <v>0</v>
      </c>
      <c r="L44" s="95" t="str">
        <f t="shared" si="0"/>
        <v>Saturday</v>
      </c>
      <c r="S44" s="84"/>
      <c r="U44" s="101">
        <f>'Trade Blotter'!B25</f>
        <v>0</v>
      </c>
      <c r="V44" s="100">
        <f t="shared" si="1"/>
        <v>0</v>
      </c>
      <c r="AC44" s="84"/>
      <c r="AE44" s="95">
        <f>'Trade Blotter'!D25</f>
        <v>0</v>
      </c>
      <c r="AF44" s="106">
        <f>'Trade Blotter'!AA25</f>
        <v>0</v>
      </c>
      <c r="AG44" s="95"/>
      <c r="AH44" s="95"/>
      <c r="AI44" s="107">
        <f>'Trade Blotter'!AB25</f>
        <v>0</v>
      </c>
    </row>
    <row r="45" spans="2:35">
      <c r="B45" s="100">
        <f>'Trade Blotter'!W26</f>
        <v>0</v>
      </c>
      <c r="I45" s="84"/>
      <c r="K45" s="101">
        <f>'Trade Blotter'!B26</f>
        <v>0</v>
      </c>
      <c r="L45" s="95" t="str">
        <f t="shared" si="0"/>
        <v>Saturday</v>
      </c>
      <c r="S45" s="84"/>
      <c r="U45" s="101">
        <f>'Trade Blotter'!B26</f>
        <v>0</v>
      </c>
      <c r="V45" s="100">
        <f t="shared" si="1"/>
        <v>0</v>
      </c>
      <c r="AC45" s="84"/>
      <c r="AE45" s="95">
        <f>'Trade Blotter'!D26</f>
        <v>0</v>
      </c>
      <c r="AF45" s="106">
        <f>'Trade Blotter'!AA26</f>
        <v>0</v>
      </c>
      <c r="AG45" s="95"/>
      <c r="AH45" s="95"/>
      <c r="AI45" s="107">
        <f>'Trade Blotter'!AB26</f>
        <v>0</v>
      </c>
    </row>
    <row r="46" spans="2:35">
      <c r="B46" s="100">
        <f>'Trade Blotter'!W27</f>
        <v>0</v>
      </c>
      <c r="I46" s="84"/>
      <c r="K46" s="101">
        <f>'Trade Blotter'!B27</f>
        <v>0</v>
      </c>
      <c r="L46" s="95" t="str">
        <f t="shared" si="0"/>
        <v>Saturday</v>
      </c>
      <c r="S46" s="84"/>
      <c r="U46" s="101">
        <f>'Trade Blotter'!B27</f>
        <v>0</v>
      </c>
      <c r="V46" s="100">
        <f t="shared" si="1"/>
        <v>0</v>
      </c>
      <c r="AC46" s="84"/>
      <c r="AE46" s="95">
        <f>'Trade Blotter'!D27</f>
        <v>0</v>
      </c>
      <c r="AF46" s="106">
        <f>'Trade Blotter'!AA27</f>
        <v>0</v>
      </c>
      <c r="AG46" s="95"/>
      <c r="AH46" s="95"/>
      <c r="AI46" s="107">
        <f>'Trade Blotter'!AB27</f>
        <v>0</v>
      </c>
    </row>
    <row r="47" spans="2:35">
      <c r="B47" s="100">
        <f>'Trade Blotter'!W28</f>
        <v>0</v>
      </c>
      <c r="I47" s="85"/>
      <c r="K47" s="101">
        <f>'Trade Blotter'!B28</f>
        <v>0</v>
      </c>
      <c r="L47" s="95" t="str">
        <f t="shared" si="0"/>
        <v>Saturday</v>
      </c>
      <c r="S47" s="84"/>
      <c r="U47" s="101">
        <f>'Trade Blotter'!B28</f>
        <v>0</v>
      </c>
      <c r="V47" s="100">
        <f t="shared" si="1"/>
        <v>0</v>
      </c>
      <c r="AC47" s="84"/>
      <c r="AE47" s="95">
        <f>'Trade Blotter'!D28</f>
        <v>0</v>
      </c>
      <c r="AF47" s="106">
        <f>'Trade Blotter'!AA28</f>
        <v>0</v>
      </c>
      <c r="AG47" s="95"/>
      <c r="AH47" s="95"/>
      <c r="AI47" s="107">
        <f>'Trade Blotter'!AB28</f>
        <v>0</v>
      </c>
    </row>
    <row r="48" spans="2:35">
      <c r="B48" s="100">
        <f>'Trade Blotter'!W29</f>
        <v>0</v>
      </c>
      <c r="I48" s="85"/>
      <c r="K48" s="101">
        <f>'Trade Blotter'!B29</f>
        <v>0</v>
      </c>
      <c r="L48" s="95" t="str">
        <f t="shared" si="0"/>
        <v>Saturday</v>
      </c>
      <c r="S48" s="84"/>
      <c r="U48" s="101">
        <f>'Trade Blotter'!B29</f>
        <v>0</v>
      </c>
      <c r="V48" s="100">
        <f t="shared" si="1"/>
        <v>0</v>
      </c>
      <c r="AC48" s="84"/>
      <c r="AE48" s="95">
        <f>'Trade Blotter'!D29</f>
        <v>0</v>
      </c>
      <c r="AF48" s="106">
        <f>'Trade Blotter'!AA29</f>
        <v>0</v>
      </c>
      <c r="AG48" s="95"/>
      <c r="AH48" s="95"/>
      <c r="AI48" s="107">
        <f>'Trade Blotter'!AB29</f>
        <v>0</v>
      </c>
    </row>
    <row r="49" spans="2:35">
      <c r="B49" s="100">
        <f>'Trade Blotter'!W30</f>
        <v>0</v>
      </c>
      <c r="I49" s="85"/>
      <c r="K49" s="101">
        <f>'Trade Blotter'!B30</f>
        <v>0</v>
      </c>
      <c r="L49" s="95" t="str">
        <f t="shared" si="0"/>
        <v>Saturday</v>
      </c>
      <c r="S49" s="84"/>
      <c r="U49" s="101">
        <f>'Trade Blotter'!B30</f>
        <v>0</v>
      </c>
      <c r="V49" s="100">
        <f t="shared" si="1"/>
        <v>0</v>
      </c>
      <c r="AC49" s="84"/>
      <c r="AE49" s="95">
        <f>'Trade Blotter'!D30</f>
        <v>0</v>
      </c>
      <c r="AF49" s="106">
        <f>'Trade Blotter'!AA30</f>
        <v>0</v>
      </c>
      <c r="AG49" s="95"/>
      <c r="AH49" s="95"/>
      <c r="AI49" s="107">
        <f>'Trade Blotter'!AB30</f>
        <v>0</v>
      </c>
    </row>
    <row r="50" spans="2:35">
      <c r="B50" s="100">
        <f>'Trade Blotter'!W31</f>
        <v>0</v>
      </c>
      <c r="I50" s="85"/>
      <c r="K50" s="101">
        <f>'Trade Blotter'!B31</f>
        <v>0</v>
      </c>
      <c r="L50" s="95" t="str">
        <f t="shared" si="0"/>
        <v>Saturday</v>
      </c>
      <c r="S50" s="84"/>
      <c r="U50" s="101">
        <f>'Trade Blotter'!B31</f>
        <v>0</v>
      </c>
      <c r="V50" s="100">
        <f t="shared" si="1"/>
        <v>0</v>
      </c>
      <c r="AC50" s="84"/>
      <c r="AE50" s="95">
        <f>'Trade Blotter'!D31</f>
        <v>0</v>
      </c>
      <c r="AF50" s="106">
        <f>'Trade Blotter'!AA31</f>
        <v>0</v>
      </c>
      <c r="AG50" s="95"/>
      <c r="AH50" s="95"/>
      <c r="AI50" s="107">
        <f>'Trade Blotter'!AB31</f>
        <v>0</v>
      </c>
    </row>
    <row r="51" spans="2:35">
      <c r="B51" s="100">
        <f>'Trade Blotter'!W32</f>
        <v>0</v>
      </c>
      <c r="I51" s="85"/>
      <c r="K51" s="101">
        <f>'Trade Blotter'!B32</f>
        <v>0</v>
      </c>
      <c r="L51" s="95" t="str">
        <f t="shared" si="0"/>
        <v>Saturday</v>
      </c>
      <c r="S51" s="84"/>
      <c r="U51" s="101">
        <f>'Trade Blotter'!B32</f>
        <v>0</v>
      </c>
      <c r="V51" s="100">
        <f t="shared" si="1"/>
        <v>0</v>
      </c>
      <c r="AC51" s="84"/>
      <c r="AE51" s="95">
        <f>'Trade Blotter'!D32</f>
        <v>0</v>
      </c>
      <c r="AF51" s="106">
        <f>'Trade Blotter'!AA32</f>
        <v>0</v>
      </c>
      <c r="AG51" s="95"/>
      <c r="AH51" s="95"/>
      <c r="AI51" s="107">
        <f>'Trade Blotter'!AB32</f>
        <v>0</v>
      </c>
    </row>
    <row r="52" spans="2:35">
      <c r="B52" s="100">
        <f>'Trade Blotter'!W33</f>
        <v>0</v>
      </c>
      <c r="D52" s="23"/>
      <c r="E52" s="28"/>
      <c r="F52" s="38"/>
      <c r="I52" s="84"/>
      <c r="K52" s="101">
        <f>'Trade Blotter'!B33</f>
        <v>0</v>
      </c>
      <c r="L52" s="95" t="str">
        <f t="shared" si="0"/>
        <v>Saturday</v>
      </c>
      <c r="S52" s="84"/>
      <c r="U52" s="101">
        <f>'Trade Blotter'!B33</f>
        <v>0</v>
      </c>
      <c r="V52" s="100">
        <f t="shared" si="1"/>
        <v>0</v>
      </c>
      <c r="AC52" s="84"/>
      <c r="AE52" s="95">
        <f>'Trade Blotter'!D33</f>
        <v>0</v>
      </c>
      <c r="AF52" s="106">
        <f>'Trade Blotter'!AA33</f>
        <v>0</v>
      </c>
      <c r="AG52" s="95"/>
      <c r="AH52" s="95"/>
      <c r="AI52" s="107">
        <f>'Trade Blotter'!AB33</f>
        <v>0</v>
      </c>
    </row>
    <row r="53" spans="2:35">
      <c r="B53" s="100">
        <f>'Trade Blotter'!W34</f>
        <v>0</v>
      </c>
      <c r="D53" s="23"/>
      <c r="E53" s="28"/>
      <c r="F53" s="38"/>
      <c r="I53" s="84"/>
      <c r="K53" s="101">
        <f>'Trade Blotter'!B34</f>
        <v>0</v>
      </c>
      <c r="L53" s="95" t="str">
        <f t="shared" si="0"/>
        <v>Saturday</v>
      </c>
      <c r="S53" s="84"/>
      <c r="U53" s="101">
        <f>'Trade Blotter'!B34</f>
        <v>0</v>
      </c>
      <c r="V53" s="100">
        <f t="shared" si="1"/>
        <v>0</v>
      </c>
      <c r="AC53" s="84"/>
      <c r="AE53" s="95">
        <f>'Trade Blotter'!D34</f>
        <v>0</v>
      </c>
      <c r="AF53" s="106">
        <f>'Trade Blotter'!AA34</f>
        <v>0</v>
      </c>
      <c r="AG53" s="95"/>
      <c r="AH53" s="95"/>
      <c r="AI53" s="107">
        <f>'Trade Blotter'!AB34</f>
        <v>0</v>
      </c>
    </row>
    <row r="54" spans="2:35">
      <c r="B54" s="100">
        <f>'Trade Blotter'!W35</f>
        <v>0</v>
      </c>
      <c r="D54" s="23"/>
      <c r="E54" s="28"/>
      <c r="F54" s="38"/>
      <c r="I54" s="84"/>
      <c r="K54" s="101">
        <f>'Trade Blotter'!B35</f>
        <v>0</v>
      </c>
      <c r="L54" s="95" t="str">
        <f t="shared" si="0"/>
        <v>Saturday</v>
      </c>
      <c r="S54" s="84"/>
      <c r="U54" s="101">
        <f>'Trade Blotter'!B35</f>
        <v>0</v>
      </c>
      <c r="V54" s="100">
        <f t="shared" si="1"/>
        <v>0</v>
      </c>
      <c r="AC54" s="84"/>
      <c r="AE54" s="95">
        <f>'Trade Blotter'!D35</f>
        <v>0</v>
      </c>
      <c r="AF54" s="106">
        <f>'Trade Blotter'!AA35</f>
        <v>0</v>
      </c>
      <c r="AG54" s="95"/>
      <c r="AH54" s="95"/>
      <c r="AI54" s="107">
        <f>'Trade Blotter'!AB35</f>
        <v>0</v>
      </c>
    </row>
    <row r="55" spans="2:35">
      <c r="B55" s="100">
        <f>'Trade Blotter'!W36</f>
        <v>0</v>
      </c>
      <c r="D55" s="23"/>
      <c r="E55" s="28"/>
      <c r="F55" s="38"/>
      <c r="I55" s="84"/>
      <c r="K55" s="101">
        <f>'Trade Blotter'!B36</f>
        <v>0</v>
      </c>
      <c r="L55" s="95" t="str">
        <f t="shared" si="0"/>
        <v>Saturday</v>
      </c>
      <c r="S55" s="84"/>
      <c r="U55" s="101">
        <f>'Trade Blotter'!B36</f>
        <v>0</v>
      </c>
      <c r="V55" s="100">
        <f t="shared" si="1"/>
        <v>0</v>
      </c>
      <c r="AC55" s="84"/>
      <c r="AE55" s="95">
        <f>'Trade Blotter'!D36</f>
        <v>0</v>
      </c>
      <c r="AF55" s="106">
        <f>'Trade Blotter'!AA36</f>
        <v>0</v>
      </c>
      <c r="AG55" s="95"/>
      <c r="AH55" s="95"/>
      <c r="AI55" s="107">
        <f>'Trade Blotter'!AB36</f>
        <v>0</v>
      </c>
    </row>
    <row r="56" spans="2:35">
      <c r="B56" s="100">
        <f>'Trade Blotter'!W37</f>
        <v>0</v>
      </c>
      <c r="D56" s="23"/>
      <c r="E56" s="28"/>
      <c r="F56" s="38"/>
      <c r="I56" s="84"/>
      <c r="K56" s="101">
        <f>'Trade Blotter'!B37</f>
        <v>0</v>
      </c>
      <c r="L56" s="95" t="str">
        <f t="shared" si="0"/>
        <v>Saturday</v>
      </c>
      <c r="S56" s="84"/>
      <c r="U56" s="101">
        <f>'Trade Blotter'!B37</f>
        <v>0</v>
      </c>
      <c r="V56" s="100">
        <f t="shared" si="1"/>
        <v>0</v>
      </c>
      <c r="AC56" s="84"/>
      <c r="AE56" s="95">
        <f>'Trade Blotter'!D37</f>
        <v>0</v>
      </c>
      <c r="AF56" s="106">
        <f>'Trade Blotter'!AA37</f>
        <v>0</v>
      </c>
      <c r="AG56" s="95"/>
      <c r="AH56" s="95"/>
      <c r="AI56" s="107">
        <f>'Trade Blotter'!AB37</f>
        <v>0</v>
      </c>
    </row>
    <row r="57" spans="2:35">
      <c r="B57" s="100">
        <f>'Trade Blotter'!W38</f>
        <v>0</v>
      </c>
      <c r="D57" s="23"/>
      <c r="E57" s="28"/>
      <c r="F57" s="38"/>
      <c r="I57" s="84"/>
      <c r="K57" s="101">
        <f>'Trade Blotter'!B38</f>
        <v>0</v>
      </c>
      <c r="L57" s="95" t="str">
        <f t="shared" si="0"/>
        <v>Saturday</v>
      </c>
      <c r="S57" s="84"/>
      <c r="U57" s="101">
        <f>'Trade Blotter'!B38</f>
        <v>0</v>
      </c>
      <c r="V57" s="100">
        <f t="shared" si="1"/>
        <v>0</v>
      </c>
      <c r="AC57" s="84"/>
      <c r="AE57" s="95">
        <f>'Trade Blotter'!D38</f>
        <v>0</v>
      </c>
      <c r="AF57" s="106">
        <f>'Trade Blotter'!AA38</f>
        <v>0</v>
      </c>
      <c r="AG57" s="95"/>
      <c r="AH57" s="95"/>
      <c r="AI57" s="107">
        <f>'Trade Blotter'!AB38</f>
        <v>0</v>
      </c>
    </row>
    <row r="58" spans="2:35">
      <c r="B58" s="100">
        <f>'Trade Blotter'!W39</f>
        <v>0</v>
      </c>
      <c r="D58" s="23"/>
      <c r="E58" s="28"/>
      <c r="F58" s="38"/>
      <c r="I58" s="84"/>
      <c r="K58" s="101">
        <f>'Trade Blotter'!B39</f>
        <v>0</v>
      </c>
      <c r="L58" s="95" t="str">
        <f t="shared" si="0"/>
        <v>Saturday</v>
      </c>
      <c r="S58" s="84"/>
      <c r="U58" s="101">
        <f>'Trade Blotter'!B39</f>
        <v>0</v>
      </c>
      <c r="V58" s="100">
        <f t="shared" si="1"/>
        <v>0</v>
      </c>
      <c r="AC58" s="84"/>
      <c r="AE58" s="95">
        <f>'Trade Blotter'!D39</f>
        <v>0</v>
      </c>
      <c r="AF58" s="106">
        <f>'Trade Blotter'!AA39</f>
        <v>0</v>
      </c>
      <c r="AG58" s="95"/>
      <c r="AH58" s="95"/>
      <c r="AI58" s="107">
        <f>'Trade Blotter'!AB39</f>
        <v>0</v>
      </c>
    </row>
    <row r="59" spans="2:35">
      <c r="B59" s="100">
        <f>'Trade Blotter'!W40</f>
        <v>0</v>
      </c>
      <c r="D59" s="23"/>
      <c r="E59" s="28"/>
      <c r="F59" s="38"/>
      <c r="I59" s="84"/>
      <c r="K59" s="101">
        <f>'Trade Blotter'!B40</f>
        <v>0</v>
      </c>
      <c r="L59" s="95" t="str">
        <f t="shared" si="0"/>
        <v>Saturday</v>
      </c>
      <c r="S59" s="84"/>
      <c r="U59" s="101">
        <f>'Trade Blotter'!B40</f>
        <v>0</v>
      </c>
      <c r="V59" s="100">
        <f t="shared" si="1"/>
        <v>0</v>
      </c>
      <c r="AC59" s="84"/>
      <c r="AE59" s="95">
        <f>'Trade Blotter'!D40</f>
        <v>0</v>
      </c>
      <c r="AF59" s="106">
        <f>'Trade Blotter'!AA40</f>
        <v>0</v>
      </c>
      <c r="AG59" s="95"/>
      <c r="AH59" s="95"/>
      <c r="AI59" s="107">
        <f>'Trade Blotter'!AB40</f>
        <v>0</v>
      </c>
    </row>
    <row r="60" spans="2:35">
      <c r="B60" s="100">
        <f>'Trade Blotter'!W41</f>
        <v>0</v>
      </c>
      <c r="D60" s="23"/>
      <c r="E60" s="28"/>
      <c r="F60" s="38"/>
      <c r="I60" s="84"/>
      <c r="K60" s="101">
        <f>'Trade Blotter'!B41</f>
        <v>0</v>
      </c>
      <c r="L60" s="95" t="str">
        <f t="shared" si="0"/>
        <v>Saturday</v>
      </c>
      <c r="S60" s="84"/>
      <c r="U60" s="101">
        <f>'Trade Blotter'!B41</f>
        <v>0</v>
      </c>
      <c r="V60" s="100">
        <f t="shared" si="1"/>
        <v>0</v>
      </c>
      <c r="AC60" s="84"/>
      <c r="AE60" s="95">
        <f>'Trade Blotter'!D41</f>
        <v>0</v>
      </c>
      <c r="AF60" s="106">
        <f>'Trade Blotter'!AA41</f>
        <v>0</v>
      </c>
      <c r="AG60" s="95"/>
      <c r="AH60" s="95"/>
      <c r="AI60" s="107">
        <f>'Trade Blotter'!AB41</f>
        <v>0</v>
      </c>
    </row>
  </sheetData>
  <mergeCells count="1">
    <mergeCell ref="O1:AC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showErrorMessage="1" xr:uid="{00000000-0002-0000-0600-000000000000}">
          <x14:formula1>
            <xm:f>'Intro and Instructions'!$D$5:$D$8</xm:f>
          </x14:formula1>
          <xm:sqref>B4 B10:B25</xm:sqref>
        </x14:dataValidation>
        <x14:dataValidation type="list" showInputMessage="1" showErrorMessage="1" xr:uid="{00000000-0002-0000-0600-000001000000}">
          <x14:formula1>
            <xm:f>'Intro and Instructions'!$D$17:$D$18</xm:f>
          </x14:formula1>
          <xm:sqref>D52:D60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97ca1a-bb5d-4ed4-926d-ec4e28aa0e04">
      <Terms xmlns="http://schemas.microsoft.com/office/infopath/2007/PartnerControls"/>
    </lcf76f155ced4ddcb4097134ff3c332f>
    <TaxCatchAll xmlns="3d60a42e-fb1e-444f-98f8-11cb4e6984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86572CD0F0043B1A6C929FEDEF9AA" ma:contentTypeVersion="16" ma:contentTypeDescription="Create a new document." ma:contentTypeScope="" ma:versionID="b633dd04504a64e8dd9950c7e2e1277b">
  <xsd:schema xmlns:xsd="http://www.w3.org/2001/XMLSchema" xmlns:xs="http://www.w3.org/2001/XMLSchema" xmlns:p="http://schemas.microsoft.com/office/2006/metadata/properties" xmlns:ns2="cb97ca1a-bb5d-4ed4-926d-ec4e28aa0e04" xmlns:ns3="3d60a42e-fb1e-444f-98f8-11cb4e698428" targetNamespace="http://schemas.microsoft.com/office/2006/metadata/properties" ma:root="true" ma:fieldsID="f2a7d0b191debbd6f97cf291c11becd2" ns2:_="" ns3:_="">
    <xsd:import namespace="cb97ca1a-bb5d-4ed4-926d-ec4e28aa0e04"/>
    <xsd:import namespace="3d60a42e-fb1e-444f-98f8-11cb4e698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7ca1a-bb5d-4ed4-926d-ec4e28aa0e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97fb341-9ab1-4441-8272-6e268b2502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0a42e-fb1e-444f-98f8-11cb4e69842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f38557-ce33-4722-9527-87fc5f117731}" ma:internalName="TaxCatchAll" ma:showField="CatchAllData" ma:web="3d60a42e-fb1e-444f-98f8-11cb4e6984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5C6FD-3521-4524-8554-2C191ED05461}"/>
</file>

<file path=customXml/itemProps2.xml><?xml version="1.0" encoding="utf-8"?>
<ds:datastoreItem xmlns:ds="http://schemas.openxmlformats.org/officeDocument/2006/customXml" ds:itemID="{5A0E9573-0380-4511-A59E-D451067A3531}"/>
</file>

<file path=customXml/itemProps3.xml><?xml version="1.0" encoding="utf-8"?>
<ds:datastoreItem xmlns:ds="http://schemas.openxmlformats.org/officeDocument/2006/customXml" ds:itemID="{AADEC04A-73DF-4531-B76D-5BDF7ABD58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Paddy</dc:creator>
  <cp:keywords/>
  <dc:description/>
  <cp:lastModifiedBy>Marc Mckenna</cp:lastModifiedBy>
  <cp:revision/>
  <dcterms:created xsi:type="dcterms:W3CDTF">2012-05-31T10:53:25Z</dcterms:created>
  <dcterms:modified xsi:type="dcterms:W3CDTF">2022-04-08T16:06:57Z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0x01010009386572CD0F0043B1A6C929FEDEF9AA</vt:lpwstr>
  </property>
  <property fmtid="{D5CDD505-2E9C-101B-9397-08002B2CF9AE}" pid="3" name="MediaServiceImageTags">
    <vt:lpwstr/>
  </property>
</Properties>
</file>